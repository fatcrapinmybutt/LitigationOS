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eadlines" sheetId="1" state="visible" r:id="rId1"/>
    <sheet xmlns:r="http://schemas.openxmlformats.org/officeDocument/2006/relationships" name="MCR Rule Reference" sheetId="2" state="visible" r:id="rId2"/>
    <sheet xmlns:r="http://schemas.openxmlformats.org/officeDocument/2006/relationships" name="Statute of Limitations" sheetId="3" state="visible" r:id="rId3"/>
    <sheet xmlns:r="http://schemas.openxmlformats.org/officeDocument/2006/relationships" name="Calendar Export" sheetId="4" state="visible" r:id="rId4"/>
  </sheets>
  <definedNames>
    <definedName name="_xlnm.Print_Titles" localSheetId="0">'Active Deadlines'!$1:$1</definedName>
    <definedName name="_xlnm.Print_Titles" localSheetId="1">'MCR Rule Reference'!$1:$1</definedName>
    <definedName name="_xlnm.Print_Titles" localSheetId="2">'Statute of Limitations'!$1:$1</definedName>
    <definedName name="_xlnm.Print_Titles" localSheetId="3">'Calendar Export'!$1:$1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1"/>
    </font>
    <font>
      <name val="Calibri"/>
      <color rgb="00000000"/>
      <sz val="11"/>
    </font>
    <font>
      <name val="Calibri"/>
      <color rgb="0015803D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5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DC2626"/>
        <sz val="11"/>
      </font>
      <fill>
        <patternFill patternType="solid">
          <fgColor rgb="00FEF2F2"/>
        </patternFill>
      </fill>
    </dxf>
    <dxf>
      <font>
        <name val="Calibri"/>
        <b val="1"/>
        <color rgb="00D97706"/>
        <sz val="11"/>
      </font>
      <fill>
        <patternFill patternType="solid">
          <fgColor rgb="00FFFBEB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FF6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2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Filing Name</t>
        </is>
      </c>
      <c r="C1" s="1" t="inlineStr">
        <is>
          <t>Court</t>
        </is>
      </c>
      <c r="D1" s="1" t="inlineStr">
        <is>
          <t>Deadline Date</t>
        </is>
      </c>
      <c r="E1" s="1" t="inlineStr">
        <is>
          <t>Days Remaining</t>
        </is>
      </c>
      <c r="F1" s="1" t="inlineStr">
        <is>
          <t>Urgency Score</t>
        </is>
      </c>
      <c r="G1" s="1" t="inlineStr">
        <is>
          <t>MCR/FRCP Rule</t>
        </is>
      </c>
      <c r="H1" s="1" t="inlineStr">
        <is>
          <t>Response Deadline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1</v>
      </c>
      <c r="B2" s="2" t="inlineStr">
        <is>
          <t>COA Record Appendix</t>
        </is>
      </c>
      <c r="C2" s="2" t="inlineStr">
        <is>
          <t>COA 366810</t>
        </is>
      </c>
      <c r="D2" s="3" t="n">
        <v>46091</v>
      </c>
      <c r="E2" s="4">
        <f>D2-TODAY()</f>
        <v/>
      </c>
      <c r="F2" s="4">
        <f>IF(E2&lt;0,100,IF(E2&lt;=3,95,IF(E2&lt;=7,85,IF(E2&lt;=14,70,IF(E2&lt;=30,50,IF(E2&lt;=60,30,10))))))</f>
        <v/>
      </c>
      <c r="G2" s="2" t="inlineStr">
        <is>
          <t>MCR 7.210</t>
        </is>
      </c>
      <c r="H2" s="2" t="inlineStr">
        <is>
          <t>N/A</t>
        </is>
      </c>
      <c r="I2" s="5">
        <f>IF(E2&lt;0,"OVERDUE",IF(E2&lt;=7,"CRITICAL",IF(E2&lt;=14,"URGENT",IF(E2&lt;=30,"ACTIVE","PLANNED"))))</f>
        <v/>
      </c>
      <c r="J2" s="2" t="inlineStr">
        <is>
          <t>Record on appeal – OVERDUE</t>
        </is>
      </c>
    </row>
    <row r="3">
      <c r="A3" s="2" t="n">
        <v>2</v>
      </c>
      <c r="B3" s="2" t="inlineStr">
        <is>
          <t>McNeill Disqualification</t>
        </is>
      </c>
      <c r="C3" s="2" t="inlineStr">
        <is>
          <t>14th Circuit</t>
        </is>
      </c>
      <c r="D3" s="3" t="n">
        <v>46096</v>
      </c>
      <c r="E3" s="4">
        <f>D3-TODAY()</f>
        <v/>
      </c>
      <c r="F3" s="4">
        <f>IF(E3&lt;0,100,IF(E3&lt;=3,95,IF(E3&lt;=7,85,IF(E3&lt;=14,70,IF(E3&lt;=30,50,IF(E3&lt;=60,30,10))))))</f>
        <v/>
      </c>
      <c r="G3" s="2" t="inlineStr">
        <is>
          <t>MCR 2.003(D)</t>
        </is>
      </c>
      <c r="H3" s="6">
        <f>D3+14</f>
        <v/>
      </c>
      <c r="I3" s="5">
        <f>IF(E3&lt;0,"OVERDUE",IF(E3&lt;=7,"CRITICAL",IF(E3&lt;=14,"URGENT",IF(E3&lt;=30,"ACTIVE","PLANNED"))))</f>
        <v/>
      </c>
      <c r="J3" s="2" t="inlineStr">
        <is>
          <t>14 days from discovery of bias</t>
        </is>
      </c>
    </row>
    <row r="4">
      <c r="A4" s="2" t="n">
        <v>3</v>
      </c>
      <c r="B4" s="2" t="inlineStr">
        <is>
          <t>Emergency PT Motion</t>
        </is>
      </c>
      <c r="C4" s="2" t="inlineStr">
        <is>
          <t>14th Circuit</t>
        </is>
      </c>
      <c r="D4" s="3" t="n">
        <v>46089</v>
      </c>
      <c r="E4" s="4">
        <f>D4-TODAY()</f>
        <v/>
      </c>
      <c r="F4" s="4">
        <f>IF(E4&lt;0,100,IF(E4&lt;=3,95,IF(E4&lt;=7,85,IF(E4&lt;=14,70,IF(E4&lt;=30,50,IF(E4&lt;=60,30,10))))))</f>
        <v/>
      </c>
      <c r="G4" s="2" t="inlineStr">
        <is>
          <t>MCR 2.119(F)</t>
        </is>
      </c>
      <c r="H4" s="2" t="inlineStr">
        <is>
          <t>N/A</t>
        </is>
      </c>
      <c r="I4" s="5">
        <f>IF(E4&lt;0,"OVERDUE",IF(E4&lt;=7,"CRITICAL",IF(E4&lt;=14,"URGENT",IF(E4&lt;=30,"ACTIVE","PLANNED"))))</f>
        <v/>
      </c>
      <c r="J4" s="2" t="inlineStr">
        <is>
          <t>No notice required – EMERGENCY</t>
        </is>
      </c>
    </row>
    <row r="5">
      <c r="A5" s="2" t="n">
        <v>4</v>
      </c>
      <c r="B5" s="2" t="inlineStr">
        <is>
          <t>JTC Formal Complaint</t>
        </is>
      </c>
      <c r="C5" s="2" t="inlineStr">
        <is>
          <t>JTC</t>
        </is>
      </c>
      <c r="D5" s="3" t="n">
        <v>46103</v>
      </c>
      <c r="E5" s="4">
        <f>D5-TODAY()</f>
        <v/>
      </c>
      <c r="F5" s="4">
        <f>IF(E5&lt;0,100,IF(E5&lt;=3,95,IF(E5&lt;=7,85,IF(E5&lt;=14,70,IF(E5&lt;=30,50,IF(E5&lt;=60,30,10))))))</f>
        <v/>
      </c>
      <c r="G5" s="2" t="inlineStr">
        <is>
          <t>JTC Rule 3</t>
        </is>
      </c>
      <c r="H5" s="2" t="inlineStr">
        <is>
          <t>N/A</t>
        </is>
      </c>
      <c r="I5" s="5">
        <f>IF(E5&lt;0,"OVERDUE",IF(E5&lt;=7,"CRITICAL",IF(E5&lt;=14,"URGENT",IF(E5&lt;=30,"ACTIVE","PLANNED"))))</f>
        <v/>
      </c>
      <c r="J5" s="2" t="inlineStr">
        <is>
          <t>Judicial misconduct complaint</t>
        </is>
      </c>
    </row>
    <row r="6">
      <c r="A6" s="2" t="n">
        <v>5</v>
      </c>
      <c r="B6" s="2" t="inlineStr">
        <is>
          <t>MSC Superintending Control</t>
        </is>
      </c>
      <c r="C6" s="2" t="inlineStr">
        <is>
          <t>MSC</t>
        </is>
      </c>
      <c r="D6" s="3" t="n">
        <v>46106</v>
      </c>
      <c r="E6" s="4">
        <f>D6-TODAY()</f>
        <v/>
      </c>
      <c r="F6" s="4">
        <f>IF(E6&lt;0,100,IF(E6&lt;=3,95,IF(E6&lt;=7,85,IF(E6&lt;=14,70,IF(E6&lt;=30,50,IF(E6&lt;=60,30,10))))))</f>
        <v/>
      </c>
      <c r="G6" s="2" t="inlineStr">
        <is>
          <t>MCR 7.304</t>
        </is>
      </c>
      <c r="H6" s="2" t="inlineStr">
        <is>
          <t>N/A</t>
        </is>
      </c>
      <c r="I6" s="5">
        <f>IF(E6&lt;0,"OVERDUE",IF(E6&lt;=7,"CRITICAL",IF(E6&lt;=14,"URGENT",IF(E6&lt;=30,"ACTIVE","PLANNED"))))</f>
        <v/>
      </c>
      <c r="J6" s="2" t="inlineStr">
        <is>
          <t>Original proceeding</t>
        </is>
      </c>
    </row>
    <row r="7">
      <c r="A7" s="2" t="n">
        <v>6</v>
      </c>
      <c r="B7" s="2" t="inlineStr">
        <is>
          <t>Contempt Show Cause</t>
        </is>
      </c>
      <c r="C7" s="2" t="inlineStr">
        <is>
          <t>14th Circuit</t>
        </is>
      </c>
      <c r="D7" s="3" t="n">
        <v>46109</v>
      </c>
      <c r="E7" s="4">
        <f>D7-TODAY()</f>
        <v/>
      </c>
      <c r="F7" s="4">
        <f>IF(E7&lt;0,100,IF(E7&lt;=3,95,IF(E7&lt;=7,85,IF(E7&lt;=14,70,IF(E7&lt;=30,50,IF(E7&lt;=60,30,10))))))</f>
        <v/>
      </c>
      <c r="G7" s="2" t="inlineStr">
        <is>
          <t>MCL 552.1</t>
        </is>
      </c>
      <c r="H7" s="6">
        <f>D7+21</f>
        <v/>
      </c>
      <c r="I7" s="5">
        <f>IF(E7&lt;0,"OVERDUE",IF(E7&lt;=7,"CRITICAL",IF(E7&lt;=14,"URGENT",IF(E7&lt;=30,"ACTIVE","PLANNED"))))</f>
        <v/>
      </c>
      <c r="J7" s="2" t="inlineStr">
        <is>
          <t>Custody order violation</t>
        </is>
      </c>
    </row>
    <row r="8">
      <c r="A8" s="2" t="n">
        <v>7</v>
      </c>
      <c r="B8" s="2" t="inlineStr">
        <is>
          <t>AGC Complaint v. Berry</t>
        </is>
      </c>
      <c r="C8" s="2" t="inlineStr">
        <is>
          <t>AGC</t>
        </is>
      </c>
      <c r="D8" s="3" t="n">
        <v>46111</v>
      </c>
      <c r="E8" s="4">
        <f>D8-TODAY()</f>
        <v/>
      </c>
      <c r="F8" s="4">
        <f>IF(E8&lt;0,100,IF(E8&lt;=3,95,IF(E8&lt;=7,85,IF(E8&lt;=14,70,IF(E8&lt;=30,50,IF(E8&lt;=60,30,10))))))</f>
        <v/>
      </c>
      <c r="G8" s="2" t="inlineStr">
        <is>
          <t>MRPC 8.3</t>
        </is>
      </c>
      <c r="H8" s="2" t="inlineStr">
        <is>
          <t>N/A</t>
        </is>
      </c>
      <c r="I8" s="5">
        <f>IF(E8&lt;0,"OVERDUE",IF(E8&lt;=7,"CRITICAL",IF(E8&lt;=14,"URGENT",IF(E8&lt;=30,"ACTIVE","PLANNED"))))</f>
        <v/>
      </c>
      <c r="J8" s="2" t="inlineStr">
        <is>
          <t>Attorney grievance filing</t>
        </is>
      </c>
    </row>
    <row r="9">
      <c r="A9" s="2" t="n">
        <v>8</v>
      </c>
      <c r="B9" s="2" t="inlineStr">
        <is>
          <t>Federal §1983</t>
        </is>
      </c>
      <c r="C9" s="2" t="inlineStr">
        <is>
          <t>W.D. Michigan</t>
        </is>
      </c>
      <c r="D9" s="3" t="n">
        <v>46127</v>
      </c>
      <c r="E9" s="4">
        <f>D9-TODAY()</f>
        <v/>
      </c>
      <c r="F9" s="4">
        <f>IF(E9&lt;0,100,IF(E9&lt;=3,95,IF(E9&lt;=7,85,IF(E9&lt;=14,70,IF(E9&lt;=30,50,IF(E9&lt;=60,30,10))))))</f>
        <v/>
      </c>
      <c r="G9" s="2" t="inlineStr">
        <is>
          <t>FRCP Rule 3</t>
        </is>
      </c>
      <c r="H9" s="6">
        <f>D9+21</f>
        <v/>
      </c>
      <c r="I9" s="5">
        <f>IF(E9&lt;0,"OVERDUE",IF(E9&lt;=7,"CRITICAL",IF(E9&lt;=14,"URGENT",IF(E9&lt;=30,"ACTIVE","PLANNED"))))</f>
        <v/>
      </c>
      <c r="J9" s="2" t="inlineStr">
        <is>
          <t>Civil rights federal action</t>
        </is>
      </c>
    </row>
    <row r="10">
      <c r="A10" s="2" t="n">
        <v>9</v>
      </c>
      <c r="B10" s="2" t="inlineStr">
        <is>
          <t>Watson 13-Count Tort</t>
        </is>
      </c>
      <c r="C10" s="2" t="inlineStr">
        <is>
          <t>14th Circuit</t>
        </is>
      </c>
      <c r="D10" s="3" t="n">
        <v>46132</v>
      </c>
      <c r="E10" s="4">
        <f>D10-TODAY()</f>
        <v/>
      </c>
      <c r="F10" s="4">
        <f>IF(E10&lt;0,100,IF(E10&lt;=3,95,IF(E10&lt;=7,85,IF(E10&lt;=14,70,IF(E10&lt;=30,50,IF(E10&lt;=60,30,10))))))</f>
        <v/>
      </c>
      <c r="G10" s="2" t="inlineStr">
        <is>
          <t>MCR 2.110</t>
        </is>
      </c>
      <c r="H10" s="6">
        <f>D10+21</f>
        <v/>
      </c>
      <c r="I10" s="5">
        <f>IF(E10&lt;0,"OVERDUE",IF(E10&lt;=7,"CRITICAL",IF(E10&lt;=14,"URGENT",IF(E10&lt;=30,"ACTIVE","PLANNED"))))</f>
        <v/>
      </c>
      <c r="J10" s="2" t="inlineStr">
        <is>
          <t>State tort complaint</t>
        </is>
      </c>
    </row>
    <row r="11">
      <c r="A11" s="2" t="n">
        <v>10</v>
      </c>
      <c r="B11" s="2" t="inlineStr">
        <is>
          <t>MSC Emergency Application</t>
        </is>
      </c>
      <c r="C11" s="2" t="inlineStr">
        <is>
          <t>MSC</t>
        </is>
      </c>
      <c r="D11" s="3" t="n">
        <v>46117</v>
      </c>
      <c r="E11" s="4">
        <f>D11-TODAY()</f>
        <v/>
      </c>
      <c r="F11" s="4">
        <f>IF(E11&lt;0,100,IF(E11&lt;=3,95,IF(E11&lt;=7,85,IF(E11&lt;=14,70,IF(E11&lt;=30,50,IF(E11&lt;=60,30,10))))))</f>
        <v/>
      </c>
      <c r="G11" s="2" t="inlineStr">
        <is>
          <t>MCR 7.311(D)</t>
        </is>
      </c>
      <c r="H11" s="2" t="inlineStr">
        <is>
          <t>N/A</t>
        </is>
      </c>
      <c r="I11" s="5">
        <f>IF(E11&lt;0,"OVERDUE",IF(E11&lt;=7,"CRITICAL",IF(E11&lt;=14,"URGENT",IF(E11&lt;=30,"ACTIVE","PLANNED"))))</f>
        <v/>
      </c>
      <c r="J11" s="2" t="inlineStr">
        <is>
          <t>Emergency relief application</t>
        </is>
      </c>
    </row>
    <row r="12">
      <c r="A12" s="2" t="n">
        <v>11</v>
      </c>
      <c r="B12" s="2" t="inlineStr">
        <is>
          <t>MSC Mandamus</t>
        </is>
      </c>
      <c r="C12" s="2" t="inlineStr">
        <is>
          <t>MSC</t>
        </is>
      </c>
      <c r="D12" s="3" t="n">
        <v>46120</v>
      </c>
      <c r="E12" s="4">
        <f>D12-TODAY()</f>
        <v/>
      </c>
      <c r="F12" s="4">
        <f>IF(E12&lt;0,100,IF(E12&lt;=3,95,IF(E12&lt;=7,85,IF(E12&lt;=14,70,IF(E12&lt;=30,50,IF(E12&lt;=60,30,10))))))</f>
        <v/>
      </c>
      <c r="G12" s="2" t="inlineStr">
        <is>
          <t>MCR 7.304</t>
        </is>
      </c>
      <c r="H12" s="2" t="inlineStr">
        <is>
          <t>N/A</t>
        </is>
      </c>
      <c r="I12" s="5">
        <f>IF(E12&lt;0,"OVERDUE",IF(E12&lt;=7,"CRITICAL",IF(E12&lt;=14,"URGENT",IF(E12&lt;=30,"ACTIVE","PLANNED"))))</f>
        <v/>
      </c>
      <c r="J12" s="2" t="inlineStr">
        <is>
          <t>Writ of mandamus</t>
        </is>
      </c>
    </row>
    <row r="13">
      <c r="A13" s="2" t="n">
        <v>12</v>
      </c>
      <c r="B13" s="2" t="inlineStr">
        <is>
          <t>MSC Habeas Corpus</t>
        </is>
      </c>
      <c r="C13" s="2" t="inlineStr">
        <is>
          <t>MSC</t>
        </is>
      </c>
      <c r="D13" s="3" t="n">
        <v>46122</v>
      </c>
      <c r="E13" s="4">
        <f>D13-TODAY()</f>
        <v/>
      </c>
      <c r="F13" s="4">
        <f>IF(E13&lt;0,100,IF(E13&lt;=3,95,IF(E13&lt;=7,85,IF(E13&lt;=14,70,IF(E13&lt;=30,50,IF(E13&lt;=60,30,10))))))</f>
        <v/>
      </c>
      <c r="G13" s="2" t="inlineStr">
        <is>
          <t>MCR 3.303</t>
        </is>
      </c>
      <c r="H13" s="2" t="inlineStr">
        <is>
          <t>N/A</t>
        </is>
      </c>
      <c r="I13" s="5">
        <f>IF(E13&lt;0,"OVERDUE",IF(E13&lt;=7,"CRITICAL",IF(E13&lt;=14,"URGENT",IF(E13&lt;=30,"ACTIVE","PLANNED"))))</f>
        <v/>
      </c>
      <c r="J13" s="2" t="inlineStr">
        <is>
          <t>Unlawful restraint challenge</t>
        </is>
      </c>
    </row>
    <row r="14">
      <c r="A14" s="2" t="n">
        <v>13</v>
      </c>
      <c r="B14" s="2" t="inlineStr">
        <is>
          <t>COA Appellant's Brief</t>
        </is>
      </c>
      <c r="C14" s="2" t="inlineStr">
        <is>
          <t>COA 366810</t>
        </is>
      </c>
      <c r="D14" s="3" t="n">
        <v>46127</v>
      </c>
      <c r="E14" s="4">
        <f>D14-TODAY()</f>
        <v/>
      </c>
      <c r="F14" s="4">
        <f>IF(E14&lt;0,100,IF(E14&lt;=3,95,IF(E14&lt;=7,85,IF(E14&lt;=14,70,IF(E14&lt;=30,50,IF(E14&lt;=60,30,10))))))</f>
        <v/>
      </c>
      <c r="G14" s="2" t="inlineStr">
        <is>
          <t>MCR 7.212</t>
        </is>
      </c>
      <c r="H14" s="2" t="inlineStr">
        <is>
          <t>N/A</t>
        </is>
      </c>
      <c r="I14" s="5">
        <f>IF(E14&lt;0,"OVERDUE",IF(E14&lt;=7,"CRITICAL",IF(E14&lt;=14,"URGENT",IF(E14&lt;=30,"ACTIVE","PLANNED"))))</f>
        <v/>
      </c>
      <c r="J14" s="2" t="inlineStr">
        <is>
          <t>56 days from record filing</t>
        </is>
      </c>
    </row>
    <row r="15">
      <c r="A15" s="2" t="n">
        <v>14</v>
      </c>
      <c r="B15" s="2" t="inlineStr">
        <is>
          <t>PPO Modification</t>
        </is>
      </c>
      <c r="C15" s="2" t="inlineStr">
        <is>
          <t>14th Circuit</t>
        </is>
      </c>
      <c r="D15" s="3" t="n">
        <v>46143</v>
      </c>
      <c r="E15" s="4">
        <f>D15-TODAY()</f>
        <v/>
      </c>
      <c r="F15" s="4">
        <f>IF(E15&lt;0,100,IF(E15&lt;=3,95,IF(E15&lt;=7,85,IF(E15&lt;=14,70,IF(E15&lt;=30,50,IF(E15&lt;=60,30,10))))))</f>
        <v/>
      </c>
      <c r="G15" s="2" t="inlineStr">
        <is>
          <t>MCR 3.707</t>
        </is>
      </c>
      <c r="H15" s="6">
        <f>D15+14</f>
        <v/>
      </c>
      <c r="I15" s="5">
        <f>IF(E15&lt;0,"OVERDUE",IF(E15&lt;=7,"CRITICAL",IF(E15&lt;=14,"URGENT",IF(E15&lt;=30,"ACTIVE","PLANNED"))))</f>
        <v/>
      </c>
      <c r="J15" s="2" t="inlineStr">
        <is>
          <t>Modify existing PPO</t>
        </is>
      </c>
    </row>
    <row r="16">
      <c r="A16" s="2" t="n">
        <v>15</v>
      </c>
      <c r="B16" s="2" t="inlineStr">
        <is>
          <t>22-Count Housing</t>
        </is>
      </c>
      <c r="C16" s="2" t="inlineStr">
        <is>
          <t>14th Circuit</t>
        </is>
      </c>
      <c r="D16" s="3" t="n">
        <v>46157</v>
      </c>
      <c r="E16" s="4">
        <f>D16-TODAY()</f>
        <v/>
      </c>
      <c r="F16" s="4">
        <f>IF(E16&lt;0,100,IF(E16&lt;=3,95,IF(E16&lt;=7,85,IF(E16&lt;=14,70,IF(E16&lt;=30,50,IF(E16&lt;=60,30,10))))))</f>
        <v/>
      </c>
      <c r="G16" s="2" t="inlineStr">
        <is>
          <t>MCR 2.110</t>
        </is>
      </c>
      <c r="H16" s="6">
        <f>D16+21</f>
        <v/>
      </c>
      <c r="I16" s="5">
        <f>IF(E16&lt;0,"OVERDUE",IF(E16&lt;=7,"CRITICAL",IF(E16&lt;=14,"URGENT",IF(E16&lt;=30,"ACTIVE","PLANNED"))))</f>
        <v/>
      </c>
      <c r="J16" s="2" t="inlineStr">
        <is>
          <t>Housing damages complaint</t>
        </is>
      </c>
    </row>
    <row r="17">
      <c r="A17" s="2" t="n">
        <v>16</v>
      </c>
      <c r="B17" s="2" t="inlineStr">
        <is>
          <t>Federal Housing FHA+RICO</t>
        </is>
      </c>
      <c r="C17" s="2" t="inlineStr">
        <is>
          <t>W.D. Michigan</t>
        </is>
      </c>
      <c r="D17" s="3" t="n">
        <v>46162</v>
      </c>
      <c r="E17" s="4">
        <f>D17-TODAY()</f>
        <v/>
      </c>
      <c r="F17" s="4">
        <f>IF(E17&lt;0,100,IF(E17&lt;=3,95,IF(E17&lt;=7,85,IF(E17&lt;=14,70,IF(E17&lt;=30,50,IF(E17&lt;=60,30,10))))))</f>
        <v/>
      </c>
      <c r="G17" s="2" t="inlineStr">
        <is>
          <t>FRCP Rule 3</t>
        </is>
      </c>
      <c r="H17" s="6">
        <f>D17+21</f>
        <v/>
      </c>
      <c r="I17" s="5">
        <f>IF(E17&lt;0,"OVERDUE",IF(E17&lt;=7,"CRITICAL",IF(E17&lt;=14,"URGENT",IF(E17&lt;=30,"ACTIVE","PLANNED"))))</f>
        <v/>
      </c>
      <c r="J17" s="2" t="inlineStr">
        <is>
          <t>Federal housing claims</t>
        </is>
      </c>
    </row>
    <row r="18">
      <c r="A18" s="2" t="n">
        <v>17</v>
      </c>
      <c r="B18" s="2" t="inlineStr">
        <is>
          <t>LARA Complaint</t>
        </is>
      </c>
      <c r="C18" s="2" t="inlineStr">
        <is>
          <t>LARA</t>
        </is>
      </c>
      <c r="D18" s="3" t="n">
        <v>46174</v>
      </c>
      <c r="E18" s="4">
        <f>D18-TODAY()</f>
        <v/>
      </c>
      <c r="F18" s="4">
        <f>IF(E18&lt;0,100,IF(E18&lt;=3,95,IF(E18&lt;=7,85,IF(E18&lt;=14,70,IF(E18&lt;=30,50,IF(E18&lt;=60,30,10))))))</f>
        <v/>
      </c>
      <c r="G18" s="2" t="inlineStr">
        <is>
          <t>MCL 125.2301</t>
        </is>
      </c>
      <c r="H18" s="2" t="inlineStr">
        <is>
          <t>N/A</t>
        </is>
      </c>
      <c r="I18" s="5">
        <f>IF(E18&lt;0,"OVERDUE",IF(E18&lt;=7,"CRITICAL",IF(E18&lt;=14,"URGENT",IF(E18&lt;=30,"ACTIVE","PLANNED"))))</f>
        <v/>
      </c>
      <c r="J18" s="2" t="inlineStr">
        <is>
          <t>Regulatory complaint</t>
        </is>
      </c>
    </row>
    <row r="19">
      <c r="A19" s="2" t="n">
        <v>18</v>
      </c>
      <c r="B19" s="2" t="inlineStr">
        <is>
          <t>HUD Fair Housing</t>
        </is>
      </c>
      <c r="C19" s="2" t="inlineStr">
        <is>
          <t>HUD</t>
        </is>
      </c>
      <c r="D19" s="3" t="n">
        <v>46188</v>
      </c>
      <c r="E19" s="4">
        <f>D19-TODAY()</f>
        <v/>
      </c>
      <c r="F19" s="4">
        <f>IF(E19&lt;0,100,IF(E19&lt;=3,95,IF(E19&lt;=7,85,IF(E19&lt;=14,70,IF(E19&lt;=30,50,IF(E19&lt;=60,30,10))))))</f>
        <v/>
      </c>
      <c r="G19" s="2" t="inlineStr">
        <is>
          <t>42 USC §3610</t>
        </is>
      </c>
      <c r="H19" s="2" t="inlineStr">
        <is>
          <t>N/A</t>
        </is>
      </c>
      <c r="I19" s="5">
        <f>IF(E19&lt;0,"OVERDUE",IF(E19&lt;=7,"CRITICAL",IF(E19&lt;=14,"URGENT",IF(E19&lt;=30,"ACTIVE","PLANNED"))))</f>
        <v/>
      </c>
      <c r="J19" s="2" t="inlineStr">
        <is>
          <t>Federal fair housing complaint</t>
        </is>
      </c>
    </row>
    <row r="20">
      <c r="A20" s="2" t="n">
        <v>19</v>
      </c>
      <c r="B20" s="2" t="inlineStr">
        <is>
          <t>Discovery Blitz</t>
        </is>
      </c>
      <c r="C20" s="2" t="inlineStr">
        <is>
          <t>All Courts</t>
        </is>
      </c>
      <c r="D20" s="3" t="n">
        <v>46204</v>
      </c>
      <c r="E20" s="4">
        <f>D20-TODAY()</f>
        <v/>
      </c>
      <c r="F20" s="4">
        <f>IF(E20&lt;0,100,IF(E20&lt;=3,95,IF(E20&lt;=7,85,IF(E20&lt;=14,70,IF(E20&lt;=30,50,IF(E20&lt;=60,30,10))))))</f>
        <v/>
      </c>
      <c r="G20" s="2" t="inlineStr">
        <is>
          <t>MCR 2.302</t>
        </is>
      </c>
      <c r="H20" s="6">
        <f>D20+28</f>
        <v/>
      </c>
      <c r="I20" s="5">
        <f>IF(E20&lt;0,"OVERDUE",IF(E20&lt;=7,"CRITICAL",IF(E20&lt;=14,"URGENT",IF(E20&lt;=30,"ACTIVE","PLANNED"))))</f>
        <v/>
      </c>
      <c r="J20" s="2" t="inlineStr">
        <is>
          <t>Coordinated discovery campaign</t>
        </is>
      </c>
    </row>
  </sheetData>
  <conditionalFormatting sqref="A2:J20">
    <cfRule type="expression" priority="1" dxfId="0">
      <formula>$I2="OVERDUE"</formula>
    </cfRule>
    <cfRule type="expression" priority="2" dxfId="1">
      <formula>$I2="CRITICAL"</formula>
    </cfRule>
    <cfRule type="expression" priority="3" dxfId="2">
      <formula>$I2="URGENT"</formula>
    </cfRule>
    <cfRule type="expression" priority="4" dxfId="3">
      <formula>$I2="PLANNED"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30" customWidth="1" min="4" max="4"/>
    <col width="36" customWidth="1" min="5" max="5"/>
    <col width="55" customWidth="1" min="6" max="6"/>
  </cols>
  <sheetData>
    <row r="1">
      <c r="A1" s="1" t="inlineStr">
        <is>
          <t>Rule Number</t>
        </is>
      </c>
      <c r="B1" s="1" t="inlineStr">
        <is>
          <t>Rule Name</t>
        </is>
      </c>
      <c r="C1" s="1" t="inlineStr">
        <is>
          <t>Filing Type</t>
        </is>
      </c>
      <c r="D1" s="1" t="inlineStr">
        <is>
          <t>Time Requirement</t>
        </is>
      </c>
      <c r="E1" s="1" t="inlineStr">
        <is>
          <t>Service Add-on</t>
        </is>
      </c>
      <c r="F1" s="1" t="inlineStr">
        <is>
          <t>Special Notes</t>
        </is>
      </c>
    </row>
    <row r="2">
      <c r="A2" s="7" t="inlineStr">
        <is>
          <t>MCR 2.003(D)</t>
        </is>
      </c>
      <c r="B2" s="7" t="inlineStr">
        <is>
          <t>Disqualification of Judge</t>
        </is>
      </c>
      <c r="C2" s="7" t="inlineStr">
        <is>
          <t>Motion</t>
        </is>
      </c>
      <c r="D2" s="7" t="inlineStr">
        <is>
          <t>14 days from discovery of bias</t>
        </is>
      </c>
      <c r="E2" s="7" t="inlineStr">
        <is>
          <t>+3 mail / +7 out-of-state / +3 e-file</t>
        </is>
      </c>
      <c r="F2" s="7" t="inlineStr">
        <is>
          <t>Must file affidavit; chief judge decides if judge refuses recusal</t>
        </is>
      </c>
    </row>
    <row r="3">
      <c r="A3" s="7" t="inlineStr">
        <is>
          <t>MCR 2.108</t>
        </is>
      </c>
      <c r="B3" s="7" t="inlineStr">
        <is>
          <t>Answer/Response Time</t>
        </is>
      </c>
      <c r="C3" s="7" t="inlineStr">
        <is>
          <t>Answer</t>
        </is>
      </c>
      <c r="D3" s="7" t="inlineStr">
        <is>
          <t>21 days after service</t>
        </is>
      </c>
      <c r="E3" s="7" t="inlineStr">
        <is>
          <t>+3 mail / +7 out-of-state / +3 e-file</t>
        </is>
      </c>
      <c r="F3" s="7" t="inlineStr">
        <is>
          <t>Failure to answer → default judgment under MCR 2.603</t>
        </is>
      </c>
    </row>
    <row r="4">
      <c r="A4" s="7" t="inlineStr">
        <is>
          <t>MCR 2.110</t>
        </is>
      </c>
      <c r="B4" s="7" t="inlineStr">
        <is>
          <t>Summons Requirements</t>
        </is>
      </c>
      <c r="C4" s="7" t="inlineStr">
        <is>
          <t>Summons &amp; Complaint</t>
        </is>
      </c>
      <c r="D4" s="7" t="inlineStr">
        <is>
          <t>91 days to serve after filing</t>
        </is>
      </c>
      <c r="E4" s="7" t="inlineStr">
        <is>
          <t>+3 mail / +7 out-of-state / +3 e-file</t>
        </is>
      </c>
      <c r="F4" s="7" t="inlineStr">
        <is>
          <t>Must include case number, parties, court address</t>
        </is>
      </c>
    </row>
    <row r="5">
      <c r="A5" s="7" t="inlineStr">
        <is>
          <t>MCR 2.119(A)(1)</t>
        </is>
      </c>
      <c r="B5" s="7" t="inlineStr">
        <is>
          <t>Motion Format &amp; Timing</t>
        </is>
      </c>
      <c r="C5" s="7" t="inlineStr">
        <is>
          <t>Motion</t>
        </is>
      </c>
      <c r="D5" s="7" t="inlineStr">
        <is>
          <t>14 days notice before hearing</t>
        </is>
      </c>
      <c r="E5" s="7" t="inlineStr">
        <is>
          <t>+3 mail / +7 out-of-state / +3 e-file</t>
        </is>
      </c>
      <c r="F5" s="7" t="inlineStr">
        <is>
          <t>Brief and proposed order required; concise statement of issues</t>
        </is>
      </c>
    </row>
    <row r="6">
      <c r="A6" s="7" t="inlineStr">
        <is>
          <t>MCR 2.119(F)</t>
        </is>
      </c>
      <c r="B6" s="7" t="inlineStr">
        <is>
          <t>Emergency Motions</t>
        </is>
      </c>
      <c r="C6" s="7" t="inlineStr">
        <is>
          <t>Emergency Motion</t>
        </is>
      </c>
      <c r="D6" s="7" t="inlineStr">
        <is>
          <t>No notice required</t>
        </is>
      </c>
      <c r="E6" s="7" t="inlineStr">
        <is>
          <t>N/A – emergency</t>
        </is>
      </c>
      <c r="F6" s="7" t="inlineStr">
        <is>
          <t>Must show irreparable harm; ex parte if necessary</t>
        </is>
      </c>
    </row>
    <row r="7">
      <c r="A7" s="7" t="inlineStr">
        <is>
          <t>MCR 2.302</t>
        </is>
      </c>
      <c r="B7" s="7" t="inlineStr">
        <is>
          <t>Discovery Scope</t>
        </is>
      </c>
      <c r="C7" s="7" t="inlineStr">
        <is>
          <t>Discovery Requests</t>
        </is>
      </c>
      <c r="D7" s="7" t="inlineStr">
        <is>
          <t>Proportional to needs</t>
        </is>
      </c>
      <c r="E7" s="7" t="inlineStr">
        <is>
          <t>+3 mail / +7 out-of-state / +3 e-file</t>
        </is>
      </c>
      <c r="F7" s="7" t="inlineStr">
        <is>
          <t>Broad scope; relevant + proportional standard</t>
        </is>
      </c>
    </row>
    <row r="8">
      <c r="A8" s="7" t="inlineStr">
        <is>
          <t>MCR 2.309</t>
        </is>
      </c>
      <c r="B8" s="7" t="inlineStr">
        <is>
          <t>Interrogatories</t>
        </is>
      </c>
      <c r="C8" s="7" t="inlineStr">
        <is>
          <t>Written Discovery</t>
        </is>
      </c>
      <c r="D8" s="7" t="inlineStr">
        <is>
          <t>28 days to respond</t>
        </is>
      </c>
      <c r="E8" s="7" t="inlineStr">
        <is>
          <t>+3 mail / +7 out-of-state / +3 e-file</t>
        </is>
      </c>
      <c r="F8" s="7" t="inlineStr">
        <is>
          <t>Max 35 including subparts; court may allow more</t>
        </is>
      </c>
    </row>
    <row r="9">
      <c r="A9" s="7" t="inlineStr">
        <is>
          <t>MCR 2.310</t>
        </is>
      </c>
      <c r="B9" s="7" t="inlineStr">
        <is>
          <t>Requests for Production</t>
        </is>
      </c>
      <c r="C9" s="7" t="inlineStr">
        <is>
          <t>Written Discovery</t>
        </is>
      </c>
      <c r="D9" s="7" t="inlineStr">
        <is>
          <t>28 days to respond</t>
        </is>
      </c>
      <c r="E9" s="7" t="inlineStr">
        <is>
          <t>+3 mail / +7 out-of-state / +3 e-file</t>
        </is>
      </c>
      <c r="F9" s="7" t="inlineStr">
        <is>
          <t>Must specify documents with reasonable particularity</t>
        </is>
      </c>
    </row>
    <row r="10">
      <c r="A10" s="7" t="inlineStr">
        <is>
          <t>MCR 2.312</t>
        </is>
      </c>
      <c r="B10" s="7" t="inlineStr">
        <is>
          <t>Requests for Admission</t>
        </is>
      </c>
      <c r="C10" s="7" t="inlineStr">
        <is>
          <t>Written Discovery</t>
        </is>
      </c>
      <c r="D10" s="7" t="inlineStr">
        <is>
          <t>28 days to respond</t>
        </is>
      </c>
      <c r="E10" s="7" t="inlineStr">
        <is>
          <t>+3 mail / +7 out-of-state / +3 e-file</t>
        </is>
      </c>
      <c r="F10" s="7" t="inlineStr">
        <is>
          <t>DEEMED ADMITTED if no timely response – powerful tool</t>
        </is>
      </c>
    </row>
    <row r="11">
      <c r="A11" s="7" t="inlineStr">
        <is>
          <t>MCR 2.401</t>
        </is>
      </c>
      <c r="B11" s="7" t="inlineStr">
        <is>
          <t>Pretrial Conference</t>
        </is>
      </c>
      <c r="C11" s="7" t="inlineStr">
        <is>
          <t>Scheduling</t>
        </is>
      </c>
      <c r="D11" s="7" t="inlineStr">
        <is>
          <t>Set by court order</t>
        </is>
      </c>
      <c r="E11" s="7" t="inlineStr">
        <is>
          <t>N/A</t>
        </is>
      </c>
      <c r="F11" s="7" t="inlineStr">
        <is>
          <t>Court sets scheduling order; discovery cutoff, trial date</t>
        </is>
      </c>
    </row>
    <row r="12">
      <c r="A12" s="7" t="inlineStr">
        <is>
          <t>MCR 2.612(C)(1)</t>
        </is>
      </c>
      <c r="B12" s="7" t="inlineStr">
        <is>
          <t>Relief from Void Judgment</t>
        </is>
      </c>
      <c r="C12" s="7" t="inlineStr">
        <is>
          <t>Motion</t>
        </is>
      </c>
      <c r="D12" s="7" t="inlineStr">
        <is>
          <t>No time limit – ANY TIME</t>
        </is>
      </c>
      <c r="E12" s="7" t="inlineStr">
        <is>
          <t>+3 mail / +7 out-of-state / +3 e-file</t>
        </is>
      </c>
      <c r="F12" s="7" t="inlineStr">
        <is>
          <t>Void judgment = court lacked jurisdiction; no time bar</t>
        </is>
      </c>
    </row>
    <row r="13">
      <c r="A13" s="7" t="inlineStr">
        <is>
          <t>MCR 3.206</t>
        </is>
      </c>
      <c r="B13" s="7" t="inlineStr">
        <is>
          <t>Domestic Relations Filing</t>
        </is>
      </c>
      <c r="C13" s="7" t="inlineStr">
        <is>
          <t>Complaint for Divorce/Custody</t>
        </is>
      </c>
      <c r="D13" s="7" t="inlineStr">
        <is>
          <t>Verified complaint required</t>
        </is>
      </c>
      <c r="E13" s="7" t="inlineStr">
        <is>
          <t>+3 mail / +7 out-of-state / +3 e-file</t>
        </is>
      </c>
      <c r="F13" s="7" t="inlineStr">
        <is>
          <t>Must include UCCJEA affidavit; friend of court involvement</t>
        </is>
      </c>
    </row>
    <row r="14">
      <c r="A14" s="7" t="inlineStr">
        <is>
          <t>MCR 3.303</t>
        </is>
      </c>
      <c r="B14" s="7" t="inlineStr">
        <is>
          <t>Habeas Corpus</t>
        </is>
      </c>
      <c r="C14" s="7" t="inlineStr">
        <is>
          <t>Petition</t>
        </is>
      </c>
      <c r="D14" s="7" t="inlineStr">
        <is>
          <t>No time limit</t>
        </is>
      </c>
      <c r="E14" s="7" t="inlineStr">
        <is>
          <t>Personal service on custodian</t>
        </is>
      </c>
      <c r="F14" s="7" t="inlineStr">
        <is>
          <t>Challenge unlawful restraint; immediate hearing required</t>
        </is>
      </c>
    </row>
    <row r="15">
      <c r="A15" s="7" t="inlineStr">
        <is>
          <t>MCR 3.707</t>
        </is>
      </c>
      <c r="B15" s="7" t="inlineStr">
        <is>
          <t>PPO Modification</t>
        </is>
      </c>
      <c r="C15" s="7" t="inlineStr">
        <is>
          <t>Motion to Modify/Terminate</t>
        </is>
      </c>
      <c r="D15" s="7" t="inlineStr">
        <is>
          <t>14 days notice</t>
        </is>
      </c>
      <c r="E15" s="7" t="inlineStr">
        <is>
          <t>+3 mail / +7 out-of-state / +3 e-file</t>
        </is>
      </c>
      <c r="F15" s="7" t="inlineStr">
        <is>
          <t>Changed circumstances required; hearing within 14 days if contested</t>
        </is>
      </c>
    </row>
    <row r="16">
      <c r="A16" s="7" t="inlineStr">
        <is>
          <t>MCR 7.204(A)</t>
        </is>
      </c>
      <c r="B16" s="7" t="inlineStr">
        <is>
          <t>Appeal of Right</t>
        </is>
      </c>
      <c r="C16" s="7" t="inlineStr">
        <is>
          <t>Claim of Appeal</t>
        </is>
      </c>
      <c r="D16" s="7" t="inlineStr">
        <is>
          <t>21 days from entry of order</t>
        </is>
      </c>
      <c r="E16" s="7" t="inlineStr">
        <is>
          <t>+3 mail / +7 out-of-state / +3 e-file</t>
        </is>
      </c>
      <c r="F16" s="7" t="inlineStr">
        <is>
          <t>Jurisdictional deadline – cannot be extended</t>
        </is>
      </c>
    </row>
    <row r="17">
      <c r="A17" s="7" t="inlineStr">
        <is>
          <t>MCR 7.205</t>
        </is>
      </c>
      <c r="B17" s="7" t="inlineStr">
        <is>
          <t>Application for Leave to Appeal</t>
        </is>
      </c>
      <c r="C17" s="7" t="inlineStr">
        <is>
          <t>Application</t>
        </is>
      </c>
      <c r="D17" s="7" t="inlineStr">
        <is>
          <t>21 days from entry of order</t>
        </is>
      </c>
      <c r="E17" s="7" t="inlineStr">
        <is>
          <t>+3 mail / +7 out-of-state / +3 e-file</t>
        </is>
      </c>
      <c r="F17" s="7" t="inlineStr">
        <is>
          <t>Discretionary review; must show merit</t>
        </is>
      </c>
    </row>
    <row r="18">
      <c r="A18" s="7" t="inlineStr">
        <is>
          <t>MCR 7.210</t>
        </is>
      </c>
      <c r="B18" s="7" t="inlineStr">
        <is>
          <t>Record Preparation</t>
        </is>
      </c>
      <c r="C18" s="7" t="inlineStr">
        <is>
          <t>Record on Appeal</t>
        </is>
      </c>
      <c r="D18" s="7" t="inlineStr">
        <is>
          <t>Per court order / 21 days</t>
        </is>
      </c>
      <c r="E18" s="7" t="inlineStr">
        <is>
          <t>N/A</t>
        </is>
      </c>
      <c r="F18" s="7" t="inlineStr">
        <is>
          <t>Appellant responsible; transcript + register of actions</t>
        </is>
      </c>
    </row>
    <row r="19">
      <c r="A19" s="7" t="inlineStr">
        <is>
          <t>MCR 7.212(A)</t>
        </is>
      </c>
      <c r="B19" s="7" t="inlineStr">
        <is>
          <t>Appellant's Brief</t>
        </is>
      </c>
      <c r="C19" s="7" t="inlineStr">
        <is>
          <t>Appellate Brief</t>
        </is>
      </c>
      <c r="D19" s="7" t="inlineStr">
        <is>
          <t>56 days after record filing</t>
        </is>
      </c>
      <c r="E19" s="7" t="inlineStr">
        <is>
          <t>+3 mail / +7 out-of-state / +3 e-file</t>
        </is>
      </c>
      <c r="F19" s="7" t="inlineStr">
        <is>
          <t>Statement of questions, facts, argument; appendix required</t>
        </is>
      </c>
    </row>
    <row r="20">
      <c r="A20" s="7" t="inlineStr">
        <is>
          <t>MCR 7.304</t>
        </is>
      </c>
      <c r="B20" s="7" t="inlineStr">
        <is>
          <t>Original Proceedings in MSC</t>
        </is>
      </c>
      <c r="C20" s="7" t="inlineStr">
        <is>
          <t>Complaint / Application</t>
        </is>
      </c>
      <c r="D20" s="7" t="inlineStr">
        <is>
          <t>No specific limit – prompt filing</t>
        </is>
      </c>
      <c r="E20" s="7" t="inlineStr">
        <is>
          <t>Per MSC rules</t>
        </is>
      </c>
      <c r="F20" s="7" t="inlineStr">
        <is>
          <t>Superintending control, mandamus, habeas in MSC</t>
        </is>
      </c>
    </row>
    <row r="21">
      <c r="A21" s="7" t="inlineStr">
        <is>
          <t>MCR 7.311</t>
        </is>
      </c>
      <c r="B21" s="7" t="inlineStr">
        <is>
          <t>Emergency Applications in MSC</t>
        </is>
      </c>
      <c r="C21" s="7" t="inlineStr">
        <is>
          <t>Emergency Application</t>
        </is>
      </c>
      <c r="D21" s="7" t="inlineStr">
        <is>
          <t>Immediate – no set limit</t>
        </is>
      </c>
      <c r="E21" s="7" t="inlineStr">
        <is>
          <t>Per MSC rules</t>
        </is>
      </c>
      <c r="F21" s="7" t="inlineStr">
        <is>
          <t>Must show extraordinary circumstances; bypass COA possible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8" customWidth="1" min="8" max="8"/>
  </cols>
  <sheetData>
    <row r="1">
      <c r="A1" s="1" t="inlineStr">
        <is>
          <t>Cause of Action</t>
        </is>
      </c>
      <c r="B1" s="1" t="inlineStr">
        <is>
          <t>SOL Period</t>
        </is>
      </c>
      <c r="C1" s="1" t="inlineStr">
        <is>
          <t>Statute</t>
        </is>
      </c>
      <c r="D1" s="1" t="inlineStr">
        <is>
          <t>Start Date</t>
        </is>
      </c>
      <c r="E1" s="1" t="inlineStr">
        <is>
          <t>Expiry Date</t>
        </is>
      </c>
      <c r="F1" s="1" t="inlineStr">
        <is>
          <t>Days Until Expiry</t>
        </is>
      </c>
      <c r="G1" s="1" t="inlineStr">
        <is>
          <t>Status</t>
        </is>
      </c>
      <c r="H1" s="1" t="inlineStr">
        <is>
          <t>Lane</t>
        </is>
      </c>
    </row>
    <row r="2">
      <c r="A2" s="2" t="inlineStr">
        <is>
          <t>Defamation / Slander</t>
        </is>
      </c>
      <c r="B2" s="2" t="inlineStr">
        <is>
          <t>1 year</t>
        </is>
      </c>
      <c r="C2" s="2" t="inlineStr">
        <is>
          <t>MCL 600.5805(3)</t>
        </is>
      </c>
      <c r="D2" s="3" t="n">
        <v>45689</v>
      </c>
      <c r="E2" s="3" t="n">
        <v>46054</v>
      </c>
      <c r="F2" s="4">
        <f>E2-TODAY()</f>
        <v/>
      </c>
      <c r="G2" s="5">
        <f>IF(E2&lt;TODAY(),"EXPIRED",IF(F2&lt;=90,"CRITICAL",IF(F2&lt;=180,"WATCH","SAFE")))</f>
        <v/>
      </c>
      <c r="H2" s="2" t="inlineStr">
        <is>
          <t>A</t>
        </is>
      </c>
    </row>
    <row r="3">
      <c r="A3" s="2" t="inlineStr">
        <is>
          <t>IIED</t>
        </is>
      </c>
      <c r="B3" s="2" t="inlineStr">
        <is>
          <t>2 years</t>
        </is>
      </c>
      <c r="C3" s="2" t="inlineStr">
        <is>
          <t>MCL 600.5805(2)</t>
        </is>
      </c>
      <c r="D3" s="3" t="n">
        <v>45444</v>
      </c>
      <c r="E3" s="3" t="n">
        <v>46174</v>
      </c>
      <c r="F3" s="4">
        <f>E3-TODAY()</f>
        <v/>
      </c>
      <c r="G3" s="5">
        <f>IF(E3&lt;TODAY(),"EXPIRED",IF(F3&lt;=90,"CRITICAL",IF(F3&lt;=180,"WATCH","SAFE")))</f>
        <v/>
      </c>
      <c r="H3" s="2" t="inlineStr">
        <is>
          <t>A</t>
        </is>
      </c>
    </row>
    <row r="4">
      <c r="A4" s="2" t="inlineStr">
        <is>
          <t>Fraud</t>
        </is>
      </c>
      <c r="B4" s="2" t="inlineStr">
        <is>
          <t>6 years</t>
        </is>
      </c>
      <c r="C4" s="2" t="inlineStr">
        <is>
          <t>MCL 600.5813</t>
        </is>
      </c>
      <c r="D4" s="3" t="n">
        <v>44562</v>
      </c>
      <c r="E4" s="3" t="n">
        <v>46753</v>
      </c>
      <c r="F4" s="4">
        <f>E4-TODAY()</f>
        <v/>
      </c>
      <c r="G4" s="5">
        <f>IF(E4&lt;TODAY(),"EXPIRED",IF(F4&lt;=90,"CRITICAL",IF(F4&lt;=180,"WATCH","SAFE")))</f>
        <v/>
      </c>
      <c r="H4" s="2" t="inlineStr">
        <is>
          <t>A</t>
        </is>
      </c>
    </row>
    <row r="5">
      <c r="A5" s="2" t="inlineStr">
        <is>
          <t>Conversion</t>
        </is>
      </c>
      <c r="B5" s="2" t="inlineStr">
        <is>
          <t>3 years</t>
        </is>
      </c>
      <c r="C5" s="2" t="inlineStr">
        <is>
          <t>MCL 600.5805(10)</t>
        </is>
      </c>
      <c r="D5" s="3" t="n">
        <v>44927</v>
      </c>
      <c r="E5" s="3" t="n">
        <v>46023</v>
      </c>
      <c r="F5" s="4">
        <f>E5-TODAY()</f>
        <v/>
      </c>
      <c r="G5" s="5">
        <f>IF(E5&lt;TODAY(),"EXPIRED",IF(F5&lt;=90,"CRITICAL",IF(F5&lt;=180,"WATCH","SAFE")))</f>
        <v/>
      </c>
      <c r="H5" s="2" t="inlineStr">
        <is>
          <t>B</t>
        </is>
      </c>
    </row>
    <row r="6">
      <c r="A6" s="2" t="inlineStr">
        <is>
          <t>Civil Conspiracy</t>
        </is>
      </c>
      <c r="B6" s="2" t="inlineStr">
        <is>
          <t>3 years</t>
        </is>
      </c>
      <c r="C6" s="2" t="inlineStr">
        <is>
          <t>MCL 600.5805(10)</t>
        </is>
      </c>
      <c r="D6" s="3" t="n">
        <v>45078</v>
      </c>
      <c r="E6" s="3" t="n">
        <v>46174</v>
      </c>
      <c r="F6" s="4">
        <f>E6-TODAY()</f>
        <v/>
      </c>
      <c r="G6" s="5">
        <f>IF(E6&lt;TODAY(),"EXPIRED",IF(F6&lt;=90,"CRITICAL",IF(F6&lt;=180,"WATCH","SAFE")))</f>
        <v/>
      </c>
      <c r="H6" s="2" t="inlineStr">
        <is>
          <t>C</t>
        </is>
      </c>
    </row>
    <row r="7">
      <c r="A7" s="2" t="inlineStr">
        <is>
          <t>Federal §1983</t>
        </is>
      </c>
      <c r="B7" s="2" t="inlineStr">
        <is>
          <t>3 years</t>
        </is>
      </c>
      <c r="C7" s="2" t="inlineStr">
        <is>
          <t>MCL 600.5805(10)</t>
        </is>
      </c>
      <c r="D7" s="3" t="n">
        <v>45292</v>
      </c>
      <c r="E7" s="3" t="n">
        <v>46388</v>
      </c>
      <c r="F7" s="4">
        <f>E7-TODAY()</f>
        <v/>
      </c>
      <c r="G7" s="5">
        <f>IF(E7&lt;TODAY(),"EXPIRED",IF(F7&lt;=90,"CRITICAL",IF(F7&lt;=180,"WATCH","SAFE")))</f>
        <v/>
      </c>
      <c r="H7" s="2" t="inlineStr">
        <is>
          <t>E</t>
        </is>
      </c>
    </row>
    <row r="8">
      <c r="A8" s="2" t="inlineStr">
        <is>
          <t>Contract Breach</t>
        </is>
      </c>
      <c r="B8" s="2" t="inlineStr">
        <is>
          <t>6 years</t>
        </is>
      </c>
      <c r="C8" s="2" t="inlineStr">
        <is>
          <t>MCL 600.5807(8)</t>
        </is>
      </c>
      <c r="D8" s="3" t="n">
        <v>44713</v>
      </c>
      <c r="E8" s="3" t="n">
        <v>46905</v>
      </c>
      <c r="F8" s="4">
        <f>E8-TODAY()</f>
        <v/>
      </c>
      <c r="G8" s="5">
        <f>IF(E8&lt;TODAY(),"EXPIRED",IF(F8&lt;=90,"CRITICAL",IF(F8&lt;=180,"WATCH","SAFE")))</f>
        <v/>
      </c>
      <c r="H8" s="2" t="inlineStr">
        <is>
          <t>B</t>
        </is>
      </c>
    </row>
    <row r="9">
      <c r="A9" s="2" t="inlineStr">
        <is>
          <t>FHA Violation</t>
        </is>
      </c>
      <c r="B9" s="2" t="inlineStr">
        <is>
          <t>2 years</t>
        </is>
      </c>
      <c r="C9" s="2" t="inlineStr">
        <is>
          <t>42 USC §3613</t>
        </is>
      </c>
      <c r="D9" s="3" t="n">
        <v>45444</v>
      </c>
      <c r="E9" s="3" t="n">
        <v>46174</v>
      </c>
      <c r="F9" s="4">
        <f>E9-TODAY()</f>
        <v/>
      </c>
      <c r="G9" s="5">
        <f>IF(E9&lt;TODAY(),"EXPIRED",IF(F9&lt;=90,"CRITICAL",IF(F9&lt;=180,"WATCH","SAFE")))</f>
        <v/>
      </c>
      <c r="H9" s="2" t="inlineStr">
        <is>
          <t>B</t>
        </is>
      </c>
    </row>
    <row r="10">
      <c r="A10" s="2" t="inlineStr">
        <is>
          <t>RICO</t>
        </is>
      </c>
      <c r="B10" s="2" t="inlineStr">
        <is>
          <t>6 years</t>
        </is>
      </c>
      <c r="C10" s="2" t="inlineStr">
        <is>
          <t>MCL 750.159j</t>
        </is>
      </c>
      <c r="D10" s="3" t="n">
        <v>44562</v>
      </c>
      <c r="E10" s="3" t="n">
        <v>46753</v>
      </c>
      <c r="F10" s="4">
        <f>E10-TODAY()</f>
        <v/>
      </c>
      <c r="G10" s="5">
        <f>IF(E10&lt;TODAY(),"EXPIRED",IF(F10&lt;=90,"CRITICAL",IF(F10&lt;=180,"WATCH","SAFE")))</f>
        <v/>
      </c>
      <c r="H10" s="2" t="inlineStr">
        <is>
          <t>B</t>
        </is>
      </c>
    </row>
    <row r="11">
      <c r="A11" s="2" t="inlineStr">
        <is>
          <t>Consumer Protection</t>
        </is>
      </c>
      <c r="B11" s="2" t="inlineStr">
        <is>
          <t>6 years</t>
        </is>
      </c>
      <c r="C11" s="2" t="inlineStr">
        <is>
          <t>MCL 445.911</t>
        </is>
      </c>
      <c r="D11" s="3" t="n">
        <v>44713</v>
      </c>
      <c r="E11" s="3" t="n">
        <v>46905</v>
      </c>
      <c r="F11" s="4">
        <f>E11-TODAY()</f>
        <v/>
      </c>
      <c r="G11" s="5">
        <f>IF(E11&lt;TODAY(),"EXPIRED",IF(F11&lt;=90,"CRITICAL",IF(F11&lt;=180,"WATCH","SAFE")))</f>
        <v/>
      </c>
      <c r="H11" s="2" t="inlineStr">
        <is>
          <t>B</t>
        </is>
      </c>
    </row>
  </sheetData>
  <conditionalFormatting sqref="A2:H11">
    <cfRule type="expression" priority="1" dxfId="0">
      <formula>$G2="EXPIRED"</formula>
    </cfRule>
    <cfRule type="expression" priority="2" dxfId="1">
      <formula>$G2="CRITICAL"</formula>
    </cfRule>
    <cfRule type="expression" priority="3" dxfId="2">
      <formula>$G2="WATCH"</formula>
    </cfRule>
    <cfRule type="expression" priority="4" dxfId="3">
      <formula>$G2="SAFE"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8" customWidth="1" min="4" max="4"/>
    <col width="55" customWidth="1" min="5" max="5"/>
    <col width="18" customWidth="1" min="6" max="6"/>
  </cols>
  <sheetData>
    <row r="1">
      <c r="A1" s="1" t="inlineStr">
        <is>
          <t>Event Title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Alert Days Before</t>
        </is>
      </c>
    </row>
    <row r="2">
      <c r="A2" s="8">
        <f>'Active Deadlines'!B2</f>
        <v/>
      </c>
      <c r="B2" s="9">
        <f>'Active Deadlines'!D2</f>
        <v/>
      </c>
      <c r="C2" s="6">
        <f>B2+1</f>
        <v/>
      </c>
      <c r="D2" s="8">
        <f>'Active Deadlines'!C2</f>
        <v/>
      </c>
      <c r="E2" s="8">
        <f>"["&amp;'Active Deadlines'!G2&amp;"] "&amp;'Active Deadlines'!J2</f>
        <v/>
      </c>
      <c r="F2" s="2" t="n">
        <v>14</v>
      </c>
    </row>
    <row r="3">
      <c r="A3" s="8">
        <f>'Active Deadlines'!B3</f>
        <v/>
      </c>
      <c r="B3" s="9">
        <f>'Active Deadlines'!D3</f>
        <v/>
      </c>
      <c r="C3" s="6">
        <f>B3+1</f>
        <v/>
      </c>
      <c r="D3" s="8">
        <f>'Active Deadlines'!C3</f>
        <v/>
      </c>
      <c r="E3" s="8">
        <f>"["&amp;'Active Deadlines'!G3&amp;"] "&amp;'Active Deadlines'!J3</f>
        <v/>
      </c>
      <c r="F3" s="2" t="n">
        <v>7</v>
      </c>
    </row>
    <row r="4">
      <c r="A4" s="8">
        <f>'Active Deadlines'!B4</f>
        <v/>
      </c>
      <c r="B4" s="9">
        <f>'Active Deadlines'!D4</f>
        <v/>
      </c>
      <c r="C4" s="6">
        <f>B4+1</f>
        <v/>
      </c>
      <c r="D4" s="8">
        <f>'Active Deadlines'!C4</f>
        <v/>
      </c>
      <c r="E4" s="8">
        <f>"["&amp;'Active Deadlines'!G4&amp;"] "&amp;'Active Deadlines'!J4</f>
        <v/>
      </c>
      <c r="F4" s="2" t="n">
        <v>7</v>
      </c>
    </row>
    <row r="5">
      <c r="A5" s="8">
        <f>'Active Deadlines'!B5</f>
        <v/>
      </c>
      <c r="B5" s="9">
        <f>'Active Deadlines'!D5</f>
        <v/>
      </c>
      <c r="C5" s="6">
        <f>B5+1</f>
        <v/>
      </c>
      <c r="D5" s="8">
        <f>'Active Deadlines'!C5</f>
        <v/>
      </c>
      <c r="E5" s="8">
        <f>"["&amp;'Active Deadlines'!G5&amp;"] "&amp;'Active Deadlines'!J5</f>
        <v/>
      </c>
      <c r="F5" s="2" t="n">
        <v>7</v>
      </c>
    </row>
    <row r="6">
      <c r="A6" s="8">
        <f>'Active Deadlines'!B6</f>
        <v/>
      </c>
      <c r="B6" s="9">
        <f>'Active Deadlines'!D6</f>
        <v/>
      </c>
      <c r="C6" s="6">
        <f>B6+1</f>
        <v/>
      </c>
      <c r="D6" s="8">
        <f>'Active Deadlines'!C6</f>
        <v/>
      </c>
      <c r="E6" s="8">
        <f>"["&amp;'Active Deadlines'!G6&amp;"] "&amp;'Active Deadlines'!J6</f>
        <v/>
      </c>
      <c r="F6" s="2" t="n">
        <v>7</v>
      </c>
    </row>
    <row r="7">
      <c r="A7" s="8">
        <f>'Active Deadlines'!B7</f>
        <v/>
      </c>
      <c r="B7" s="9">
        <f>'Active Deadlines'!D7</f>
        <v/>
      </c>
      <c r="C7" s="6">
        <f>B7+1</f>
        <v/>
      </c>
      <c r="D7" s="8">
        <f>'Active Deadlines'!C7</f>
        <v/>
      </c>
      <c r="E7" s="8">
        <f>"["&amp;'Active Deadlines'!G7&amp;"] "&amp;'Active Deadlines'!J7</f>
        <v/>
      </c>
      <c r="F7" s="2" t="n">
        <v>7</v>
      </c>
    </row>
    <row r="8">
      <c r="A8" s="8">
        <f>'Active Deadlines'!B8</f>
        <v/>
      </c>
      <c r="B8" s="9">
        <f>'Active Deadlines'!D8</f>
        <v/>
      </c>
      <c r="C8" s="6">
        <f>B8+1</f>
        <v/>
      </c>
      <c r="D8" s="8">
        <f>'Active Deadlines'!C8</f>
        <v/>
      </c>
      <c r="E8" s="8">
        <f>"["&amp;'Active Deadlines'!G8&amp;"] "&amp;'Active Deadlines'!J8</f>
        <v/>
      </c>
      <c r="F8" s="2" t="n">
        <v>7</v>
      </c>
    </row>
    <row r="9">
      <c r="A9" s="8">
        <f>'Active Deadlines'!B9</f>
        <v/>
      </c>
      <c r="B9" s="9">
        <f>'Active Deadlines'!D9</f>
        <v/>
      </c>
      <c r="C9" s="6">
        <f>B9+1</f>
        <v/>
      </c>
      <c r="D9" s="8">
        <f>'Active Deadlines'!C9</f>
        <v/>
      </c>
      <c r="E9" s="8">
        <f>"["&amp;'Active Deadlines'!G9&amp;"] "&amp;'Active Deadlines'!J9</f>
        <v/>
      </c>
      <c r="F9" s="2" t="n">
        <v>14</v>
      </c>
    </row>
    <row r="10">
      <c r="A10" s="8">
        <f>'Active Deadlines'!B10</f>
        <v/>
      </c>
      <c r="B10" s="9">
        <f>'Active Deadlines'!D10</f>
        <v/>
      </c>
      <c r="C10" s="6">
        <f>B10+1</f>
        <v/>
      </c>
      <c r="D10" s="8">
        <f>'Active Deadlines'!C10</f>
        <v/>
      </c>
      <c r="E10" s="8">
        <f>"["&amp;'Active Deadlines'!G10&amp;"] "&amp;'Active Deadlines'!J10</f>
        <v/>
      </c>
      <c r="F10" s="2" t="n">
        <v>14</v>
      </c>
    </row>
    <row r="11">
      <c r="A11" s="8">
        <f>'Active Deadlines'!B11</f>
        <v/>
      </c>
      <c r="B11" s="9">
        <f>'Active Deadlines'!D11</f>
        <v/>
      </c>
      <c r="C11" s="6">
        <f>B11+1</f>
        <v/>
      </c>
      <c r="D11" s="8">
        <f>'Active Deadlines'!C11</f>
        <v/>
      </c>
      <c r="E11" s="8">
        <f>"["&amp;'Active Deadlines'!G11&amp;"] "&amp;'Active Deadlines'!J11</f>
        <v/>
      </c>
      <c r="F11" s="2" t="n">
        <v>7</v>
      </c>
    </row>
    <row r="12">
      <c r="A12" s="8">
        <f>'Active Deadlines'!B12</f>
        <v/>
      </c>
      <c r="B12" s="9">
        <f>'Active Deadlines'!D12</f>
        <v/>
      </c>
      <c r="C12" s="6">
        <f>B12+1</f>
        <v/>
      </c>
      <c r="D12" s="8">
        <f>'Active Deadlines'!C12</f>
        <v/>
      </c>
      <c r="E12" s="8">
        <f>"["&amp;'Active Deadlines'!G12&amp;"] "&amp;'Active Deadlines'!J12</f>
        <v/>
      </c>
      <c r="F12" s="2" t="n">
        <v>7</v>
      </c>
    </row>
    <row r="13">
      <c r="A13" s="8">
        <f>'Active Deadlines'!B13</f>
        <v/>
      </c>
      <c r="B13" s="9">
        <f>'Active Deadlines'!D13</f>
        <v/>
      </c>
      <c r="C13" s="6">
        <f>B13+1</f>
        <v/>
      </c>
      <c r="D13" s="8">
        <f>'Active Deadlines'!C13</f>
        <v/>
      </c>
      <c r="E13" s="8">
        <f>"["&amp;'Active Deadlines'!G13&amp;"] "&amp;'Active Deadlines'!J13</f>
        <v/>
      </c>
      <c r="F13" s="2" t="n">
        <v>7</v>
      </c>
    </row>
    <row r="14">
      <c r="A14" s="8">
        <f>'Active Deadlines'!B14</f>
        <v/>
      </c>
      <c r="B14" s="9">
        <f>'Active Deadlines'!D14</f>
        <v/>
      </c>
      <c r="C14" s="6">
        <f>B14+1</f>
        <v/>
      </c>
      <c r="D14" s="8">
        <f>'Active Deadlines'!C14</f>
        <v/>
      </c>
      <c r="E14" s="8">
        <f>"["&amp;'Active Deadlines'!G14&amp;"] "&amp;'Active Deadlines'!J14</f>
        <v/>
      </c>
      <c r="F14" s="2" t="n">
        <v>14</v>
      </c>
    </row>
    <row r="15">
      <c r="A15" s="8">
        <f>'Active Deadlines'!B15</f>
        <v/>
      </c>
      <c r="B15" s="9">
        <f>'Active Deadlines'!D15</f>
        <v/>
      </c>
      <c r="C15" s="6">
        <f>B15+1</f>
        <v/>
      </c>
      <c r="D15" s="8">
        <f>'Active Deadlines'!C15</f>
        <v/>
      </c>
      <c r="E15" s="8">
        <f>"["&amp;'Active Deadlines'!G15&amp;"] "&amp;'Active Deadlines'!J15</f>
        <v/>
      </c>
      <c r="F15" s="2" t="n">
        <v>7</v>
      </c>
    </row>
    <row r="16">
      <c r="A16" s="8">
        <f>'Active Deadlines'!B16</f>
        <v/>
      </c>
      <c r="B16" s="9">
        <f>'Active Deadlines'!D16</f>
        <v/>
      </c>
      <c r="C16" s="6">
        <f>B16+1</f>
        <v/>
      </c>
      <c r="D16" s="8">
        <f>'Active Deadlines'!C16</f>
        <v/>
      </c>
      <c r="E16" s="8">
        <f>"["&amp;'Active Deadlines'!G16&amp;"] "&amp;'Active Deadlines'!J16</f>
        <v/>
      </c>
      <c r="F16" s="2" t="n">
        <v>14</v>
      </c>
    </row>
    <row r="17">
      <c r="A17" s="8">
        <f>'Active Deadlines'!B17</f>
        <v/>
      </c>
      <c r="B17" s="9">
        <f>'Active Deadlines'!D17</f>
        <v/>
      </c>
      <c r="C17" s="6">
        <f>B17+1</f>
        <v/>
      </c>
      <c r="D17" s="8">
        <f>'Active Deadlines'!C17</f>
        <v/>
      </c>
      <c r="E17" s="8">
        <f>"["&amp;'Active Deadlines'!G17&amp;"] "&amp;'Active Deadlines'!J17</f>
        <v/>
      </c>
      <c r="F17" s="2" t="n">
        <v>14</v>
      </c>
    </row>
    <row r="18">
      <c r="A18" s="8">
        <f>'Active Deadlines'!B18</f>
        <v/>
      </c>
      <c r="B18" s="9">
        <f>'Active Deadlines'!D18</f>
        <v/>
      </c>
      <c r="C18" s="6">
        <f>B18+1</f>
        <v/>
      </c>
      <c r="D18" s="8">
        <f>'Active Deadlines'!C18</f>
        <v/>
      </c>
      <c r="E18" s="8">
        <f>"["&amp;'Active Deadlines'!G18&amp;"] "&amp;'Active Deadlines'!J18</f>
        <v/>
      </c>
      <c r="F18" s="2" t="n">
        <v>7</v>
      </c>
    </row>
    <row r="19">
      <c r="A19" s="8">
        <f>'Active Deadlines'!B19</f>
        <v/>
      </c>
      <c r="B19" s="9">
        <f>'Active Deadlines'!D19</f>
        <v/>
      </c>
      <c r="C19" s="6">
        <f>B19+1</f>
        <v/>
      </c>
      <c r="D19" s="8">
        <f>'Active Deadlines'!C19</f>
        <v/>
      </c>
      <c r="E19" s="8">
        <f>"["&amp;'Active Deadlines'!G19&amp;"] "&amp;'Active Deadlines'!J19</f>
        <v/>
      </c>
      <c r="F19" s="2" t="n">
        <v>7</v>
      </c>
    </row>
    <row r="20">
      <c r="A20" s="8">
        <f>'Active Deadlines'!B20</f>
        <v/>
      </c>
      <c r="B20" s="9">
        <f>'Active Deadlines'!D20</f>
        <v/>
      </c>
      <c r="C20" s="6">
        <f>B20+1</f>
        <v/>
      </c>
      <c r="D20" s="8">
        <f>'Active Deadlines'!C20</f>
        <v/>
      </c>
      <c r="E20" s="8">
        <f>"["&amp;'Active Deadlines'!G20&amp;"] "&amp;'Active Deadlines'!J20</f>
        <v/>
      </c>
      <c r="F20" s="2" t="n">
        <v>7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2026-03-12T13:36:15Z</dcterms:created>
  <dcterms:modified xmlns:dcterms="http://purl.org/dc/terms/" xmlns:xsi="http://www.w3.org/2001/XMLSchema-instance" xsi:type="dcterms:W3CDTF">2026-03-12T13:36:15Z</dcterms:modified>
</cp:coreProperties>
</file>