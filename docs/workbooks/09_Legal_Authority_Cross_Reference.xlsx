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hority Index" sheetId="1" state="visible" r:id="rId1"/>
    <sheet xmlns:r="http://schemas.openxmlformats.org/officeDocument/2006/relationships" name="Lane Assignment Matrix" sheetId="2" state="visible" r:id="rId2"/>
    <sheet xmlns:r="http://schemas.openxmlformats.org/officeDocument/2006/relationships" name="Filing Cross-Reference" sheetId="3" state="visible" r:id="rId3"/>
    <sheet xmlns:r="http://schemas.openxmlformats.org/officeDocument/2006/relationships" name="Authority Chain Completeness" sheetId="4" state="visible" r:id="rId4"/>
    <sheet xmlns:r="http://schemas.openxmlformats.org/officeDocument/2006/relationships" name="Weight Analysis" sheetId="5" state="visible" r:id="rId5"/>
  </sheets>
  <definedNames>
    <definedName name="_xlnm._FilterDatabase" localSheetId="0" hidden="1">'Authority Index'!$A$4:$L$64</definedName>
    <definedName name="_xlnm._FilterDatabase" localSheetId="1" hidden="1">'Lane Assignment Matrix'!$A$3:$H$63</definedName>
    <definedName name="_xlnm._FilterDatabase" localSheetId="2" hidden="1">'Filing Cross-Reference'!$A$3:$L$63</definedName>
    <definedName name="_xlnm._FilterDatabase" localSheetId="3" hidden="1">'Authority Chain Completeness'!$A$3:$G$31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Calibri"/>
      <b val="1"/>
      <color rgb="000F172A"/>
      <sz val="14"/>
    </font>
    <font>
      <name val="Calibri"/>
      <b val="1"/>
      <color rgb="00475569"/>
      <sz val="11"/>
    </font>
    <font>
      <name val="Calibri"/>
      <b val="1"/>
      <color rgb="00FFFFFF"/>
      <sz val="11"/>
    </font>
    <font>
      <name val="Calibri"/>
      <color rgb="00000000"/>
      <sz val="11"/>
    </font>
    <font>
      <name val="Calibri"/>
      <color rgb="001E40AF"/>
      <sz val="11"/>
    </font>
    <font>
      <b val="1"/>
      <color rgb="000F172A"/>
      <sz val="11"/>
    </font>
    <font>
      <b val="1"/>
      <sz val="11"/>
    </font>
    <font>
      <name val="Calibri"/>
      <b val="1"/>
      <color rgb="00166534"/>
      <sz val="11"/>
    </font>
    <font>
      <b val="1"/>
      <color rgb="00166534"/>
      <sz val="12"/>
    </font>
    <font>
      <b val="1"/>
      <color rgb="000F172A"/>
    </font>
    <font>
      <b val="1"/>
      <color rgb="000F172A"/>
      <sz val="12"/>
    </font>
    <font>
      <b val="1"/>
      <color rgb="007C3AED"/>
      <sz val="12"/>
    </font>
  </fonts>
  <fills count="6">
    <fill>
      <patternFill/>
    </fill>
    <fill>
      <patternFill patternType="gray125"/>
    </fill>
    <fill>
      <patternFill patternType="solid">
        <fgColor rgb="000F172A"/>
      </patternFill>
    </fill>
    <fill>
      <patternFill patternType="solid">
        <fgColor rgb="00F9FAFB"/>
      </patternFill>
    </fill>
    <fill>
      <patternFill patternType="solid">
        <fgColor rgb="00DBEAFE"/>
      </patternFill>
    </fill>
    <fill>
      <patternFill patternType="solid">
        <fgColor rgb="00EDE9FE"/>
      </patternFill>
    </fill>
  </fills>
  <borders count="5">
    <border>
      <left/>
      <right/>
      <top/>
      <bottom/>
      <diagonal/>
    </border>
    <border>
      <left style="thin">
        <color rgb="00D1D5DB"/>
      </left>
      <right style="thin">
        <color rgb="00D1D5DB"/>
      </right>
      <top style="thin">
        <color rgb="00D1D5DB"/>
      </top>
      <bottom style="thin">
        <color rgb="00D1D5DB"/>
      </bottom>
    </border>
    <border>
      <left style="thick">
        <color rgb="00D97706"/>
      </left>
      <right style="thin">
        <color rgb="00D1D5DB"/>
      </right>
      <top style="thin">
        <color rgb="00D1D5DB"/>
      </top>
      <bottom style="thin">
        <color rgb="00D1D5DB"/>
      </bottom>
    </border>
    <border>
      <left style="thick">
        <color rgb="0016A34A"/>
      </left>
      <right style="thin">
        <color rgb="00D1D5DB"/>
      </right>
      <top style="thin">
        <color rgb="00D1D5DB"/>
      </top>
      <bottom style="thin">
        <color rgb="00D1D5DB"/>
      </bottom>
    </border>
    <border>
      <left style="thick">
        <color rgb="002563EB"/>
      </left>
      <right style="thin">
        <color rgb="00D1D5DB"/>
      </right>
      <top style="thin">
        <color rgb="00D1D5DB"/>
      </top>
      <bottom style="thin">
        <color rgb="00D1D5DB"/>
      </bottom>
    </border>
  </borders>
  <cellStyleXfs count="1">
    <xf numFmtId="0" fontId="0" fillId="0" borderId="0"/>
  </cellStyleXfs>
  <cellXfs count="4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2" applyAlignment="1" pivotButton="0" quotePrefix="0" xfId="0">
      <alignment horizontal="center" vertical="center"/>
    </xf>
    <xf numFmtId="0" fontId="5" fillId="0" borderId="1" applyAlignment="1" pivotButton="0" quotePrefix="0" xfId="0">
      <alignment vertical="top" wrapText="1"/>
    </xf>
    <xf numFmtId="0" fontId="5" fillId="0" borderId="1" pivotButton="0" quotePrefix="0" xfId="0"/>
    <xf numFmtId="0" fontId="5" fillId="0" borderId="1" applyAlignment="1" pivotButton="0" quotePrefix="0" xfId="0">
      <alignment horizontal="center" vertical="center"/>
    </xf>
    <xf numFmtId="1" fontId="5" fillId="0" borderId="1" applyAlignment="1" pivotButton="0" quotePrefix="0" xfId="0">
      <alignment horizontal="center" vertical="center"/>
    </xf>
    <xf numFmtId="0" fontId="4" fillId="3" borderId="2" applyAlignment="1" pivotButton="0" quotePrefix="0" xfId="0">
      <alignment horizontal="center" vertical="center"/>
    </xf>
    <xf numFmtId="0" fontId="5" fillId="3" borderId="1" applyAlignment="1" pivotButton="0" quotePrefix="0" xfId="0">
      <alignment vertical="top" wrapText="1"/>
    </xf>
    <xf numFmtId="0" fontId="5" fillId="3" borderId="1" pivotButton="0" quotePrefix="0" xfId="0"/>
    <xf numFmtId="0" fontId="5" fillId="3" borderId="1" applyAlignment="1" pivotButton="0" quotePrefix="0" xfId="0">
      <alignment horizontal="center" vertical="center"/>
    </xf>
    <xf numFmtId="1" fontId="5" fillId="3" borderId="1" applyAlignment="1" pivotButton="0" quotePrefix="0" xfId="0">
      <alignment horizontal="center"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4" fillId="3" borderId="3" applyAlignment="1" pivotButton="0" quotePrefix="0" xfId="0">
      <alignment horizontal="center" vertical="center"/>
    </xf>
    <xf numFmtId="0" fontId="4" fillId="0" borderId="3" applyAlignment="1" pivotButton="0" quotePrefix="0" xfId="0">
      <alignment horizontal="center" vertical="center"/>
    </xf>
    <xf numFmtId="0" fontId="4" fillId="3" borderId="4" applyAlignment="1" pivotButton="0" quotePrefix="0" xfId="0">
      <alignment horizontal="center" vertical="center"/>
    </xf>
    <xf numFmtId="0" fontId="4" fillId="0" borderId="4" applyAlignment="1" pivotButton="0" quotePrefix="0" xfId="0">
      <alignment horizontal="center" vertical="center"/>
    </xf>
    <xf numFmtId="0" fontId="6" fillId="0" borderId="0" pivotButton="0" quotePrefix="0" xfId="0"/>
    <xf numFmtId="0" fontId="7" fillId="0" borderId="0" pivotButton="0" quotePrefix="0" xfId="0"/>
    <xf numFmtId="0" fontId="4" fillId="0" borderId="0" pivotButton="0" quotePrefix="0" xfId="0"/>
    <xf numFmtId="164" fontId="4" fillId="0" borderId="0" pivotButton="0" quotePrefix="0" xfId="0"/>
    <xf numFmtId="0" fontId="1" fillId="0" borderId="0" applyAlignment="1" pivotButton="0" quotePrefix="0" xfId="0">
      <alignment horizontal="center"/>
    </xf>
    <xf numFmtId="0" fontId="8" fillId="3" borderId="1" applyAlignment="1" pivotButton="0" quotePrefix="0" xfId="0">
      <alignment horizontal="center" vertical="center"/>
    </xf>
    <xf numFmtId="0" fontId="8" fillId="3" borderId="1" pivotButton="0" quotePrefix="0" xfId="0"/>
    <xf numFmtId="0" fontId="9" fillId="3"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9" fillId="0" borderId="1" applyAlignment="1" pivotButton="0" quotePrefix="0" xfId="0">
      <alignment horizontal="center" vertical="center"/>
    </xf>
    <xf numFmtId="0" fontId="10" fillId="0" borderId="0" pivotButton="0" quotePrefix="0" xfId="0"/>
    <xf numFmtId="0" fontId="11" fillId="4" borderId="0" applyAlignment="1" pivotButton="0" quotePrefix="0" xfId="0">
      <alignment horizontal="center" vertical="center"/>
    </xf>
    <xf numFmtId="0" fontId="12" fillId="3" borderId="1" applyAlignment="1" pivotButton="0" quotePrefix="0" xfId="0">
      <alignment horizontal="center" vertical="center"/>
    </xf>
    <xf numFmtId="0" fontId="12" fillId="0" borderId="1" applyAlignment="1" pivotButton="0" quotePrefix="0" xfId="0">
      <alignment horizontal="center" vertical="center"/>
    </xf>
    <xf numFmtId="0" fontId="11" fillId="5" borderId="0" applyAlignment="1" pivotButton="0" quotePrefix="0" xfId="0">
      <alignment horizontal="center" vertical="center"/>
    </xf>
    <xf numFmtId="0" fontId="11" fillId="0" borderId="0" applyAlignment="1" pivotButton="0" quotePrefix="0" xfId="0">
      <alignment horizontal="center" vertical="center"/>
    </xf>
    <xf numFmtId="165" fontId="4" fillId="3" borderId="1" applyAlignment="1" pivotButton="0" quotePrefix="0" xfId="0">
      <alignment horizontal="center" vertical="center"/>
    </xf>
    <xf numFmtId="165" fontId="4" fillId="0" borderId="1" applyAlignment="1" pivotButton="0" quotePrefix="0" xfId="0">
      <alignment horizontal="center" vertical="center"/>
    </xf>
    <xf numFmtId="0" fontId="11" fillId="0" borderId="0" pivotButton="0" quotePrefix="0" xfId="0"/>
    <xf numFmtId="165" fontId="4" fillId="0" borderId="0" pivotButton="0" quotePrefix="0" xfId="0"/>
    <xf numFmtId="164" fontId="4" fillId="0" borderId="1" applyAlignment="1" pivotButton="0" quotePrefix="0" xfId="0">
      <alignment horizontal="center" vertical="center"/>
    </xf>
    <xf numFmtId="1" fontId="4" fillId="0" borderId="1" applyAlignment="1" pivotButton="0" quotePrefix="0" xfId="0">
      <alignment horizontal="center" vertical="center"/>
    </xf>
    <xf numFmtId="164" fontId="4" fillId="3" borderId="1" applyAlignment="1" pivotButton="0" quotePrefix="0" xfId="0">
      <alignment horizontal="center" vertical="center"/>
    </xf>
    <xf numFmtId="1" fontId="4" fillId="3" borderId="1" applyAlignment="1" pivotButton="0" quotePrefix="0" xfId="0">
      <alignment horizontal="center" vertical="center"/>
    </xf>
    <xf numFmtId="165" fontId="8" fillId="0" borderId="1" applyAlignment="1" pivotButton="0" quotePrefix="0" xfId="0">
      <alignment horizontal="center" vertical="center"/>
    </xf>
    <xf numFmtId="165" fontId="8" fillId="3" borderId="1" applyAlignment="1" pivotButton="0" quotePrefix="0" xfId="0">
      <alignment horizontal="center" vertical="center"/>
    </xf>
    <xf numFmtId="0" fontId="7" fillId="0" borderId="1" pivotButton="0" quotePrefix="0" xfId="0"/>
    <xf numFmtId="164" fontId="8" fillId="0" borderId="1" applyAlignment="1" pivotButton="0" quotePrefix="0" xfId="0">
      <alignment horizontal="center" vertical="center"/>
    </xf>
  </cellXfs>
  <cellStyles count="1">
    <cellStyle name="Normal" xfId="0" builtinId="0" hidden="0"/>
  </cellStyles>
  <dxfs count="4">
    <dxf>
      <font>
        <b val="1"/>
        <color rgb="00FFFFFF"/>
      </font>
      <fill>
        <patternFill patternType="solid">
          <fgColor rgb="00166534"/>
        </patternFill>
      </fill>
    </dxf>
    <dxf>
      <font>
        <color rgb="00166534"/>
      </font>
      <fill>
        <patternFill patternType="solid">
          <fgColor rgb="00BBF7D0"/>
        </patternFill>
      </fill>
    </dxf>
    <dxf>
      <font>
        <color rgb="0092400E"/>
      </font>
      <fill>
        <patternFill patternType="solid">
          <fgColor rgb="00FDE68A"/>
        </patternFill>
      </fill>
    </dxf>
    <dxf>
      <font>
        <color rgb="00991B1B"/>
      </font>
      <fill>
        <patternFill patternType="solid">
          <fgColor rgb="00FCA5A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172A"/>
    <outlinePr summaryBelow="1" summaryRight="1"/>
    <pageSetUpPr/>
  </sheetPr>
  <dimension ref="A1:L69"/>
  <sheetViews>
    <sheetView workbookViewId="0">
      <pane ySplit="4" topLeftCell="A5" activePane="bottomLeft" state="frozen"/>
      <selection pane="bottomLeft" activeCell="A1" sqref="A1"/>
    </sheetView>
  </sheetViews>
  <sheetFormatPr baseColWidth="8" defaultRowHeight="15"/>
  <cols>
    <col width="6" customWidth="1" min="1" max="1"/>
    <col width="52" customWidth="1" min="2" max="2"/>
    <col width="20" customWidth="1" min="3" max="3"/>
    <col width="12" customWidth="1" min="4" max="4"/>
    <col width="14" customWidth="1" min="5" max="5"/>
    <col width="8" customWidth="1" min="6" max="6"/>
    <col width="10" customWidth="1" min="7" max="7"/>
    <col width="38" customWidth="1" min="8" max="8"/>
    <col width="12" customWidth="1" min="9" max="9"/>
    <col width="14" customWidth="1" min="10" max="10"/>
    <col width="50" customWidth="1" min="11" max="11"/>
    <col width="38" customWidth="1" min="12" max="12"/>
  </cols>
  <sheetData>
    <row r="1">
      <c r="A1" s="1" t="inlineStr">
        <is>
          <t>Legal Authority Cross-Reference — Pigors v. All</t>
        </is>
      </c>
    </row>
    <row r="2">
      <c r="A2" s="2" t="inlineStr">
        <is>
          <t>Master Index of 60 Key Authorities Across 6 Litigation Lanes</t>
        </is>
      </c>
    </row>
    <row r="4">
      <c r="A4" s="3" t="inlineStr">
        <is>
          <t>ID</t>
        </is>
      </c>
      <c r="B4" s="3" t="inlineStr">
        <is>
          <t>Citation</t>
        </is>
      </c>
      <c r="C4" s="3" t="inlineStr">
        <is>
          <t>Short Name</t>
        </is>
      </c>
      <c r="D4" s="3" t="inlineStr">
        <is>
          <t>Type</t>
        </is>
      </c>
      <c r="E4" s="3" t="inlineStr">
        <is>
          <t>Jurisdiction</t>
        </is>
      </c>
      <c r="F4" s="3" t="inlineStr">
        <is>
          <t>Year</t>
        </is>
      </c>
      <c r="G4" s="3" t="inlineStr">
        <is>
          <t>Lane(s)</t>
        </is>
      </c>
      <c r="H4" s="3" t="inlineStr">
        <is>
          <t>Filings Used In</t>
        </is>
      </c>
      <c r="I4" s="3" t="inlineStr">
        <is>
          <t>Weight Score</t>
        </is>
      </c>
      <c r="J4" s="3" t="inlineStr">
        <is>
          <t>Chain Status</t>
        </is>
      </c>
      <c r="K4" s="3" t="inlineStr">
        <is>
          <t>Key Holding</t>
        </is>
      </c>
      <c r="L4" s="3" t="inlineStr">
        <is>
          <t>Notes</t>
        </is>
      </c>
    </row>
    <row r="5">
      <c r="A5" s="4" t="n">
        <v>1</v>
      </c>
      <c r="B5" s="5" t="inlineStr">
        <is>
          <t>Troxel v. Granville, 530 U.S. 57 (2000)</t>
        </is>
      </c>
      <c r="C5" s="6" t="inlineStr">
        <is>
          <t>Troxel</t>
        </is>
      </c>
      <c r="D5" s="7" t="inlineStr">
        <is>
          <t>SCOTUS</t>
        </is>
      </c>
      <c r="E5" s="7" t="inlineStr">
        <is>
          <t>Federal</t>
        </is>
      </c>
      <c r="F5" s="7" t="n">
        <v>2000</v>
      </c>
      <c r="G5" s="7" t="inlineStr">
        <is>
          <t>A,E</t>
        </is>
      </c>
      <c r="H5" s="5" t="inlineStr">
        <is>
          <t>JTC,MSC Super,Contempt,Emergency PT</t>
        </is>
      </c>
      <c r="I5" s="8" t="n">
        <v>95</v>
      </c>
      <c r="J5" s="7" t="inlineStr">
        <is>
          <t>COMPLETE</t>
        </is>
      </c>
      <c r="K5" s="5" t="inlineStr">
        <is>
          <t>Parental rights are fundamental liberty interests</t>
        </is>
      </c>
      <c r="L5" s="5" t="inlineStr">
        <is>
          <t>Controlling on parental rights claims</t>
        </is>
      </c>
    </row>
    <row r="6">
      <c r="A6" s="9" t="n">
        <v>2</v>
      </c>
      <c r="B6" s="10" t="inlineStr">
        <is>
          <t>Mathews v. Eldridge, 424 U.S. 319 (1976)</t>
        </is>
      </c>
      <c r="C6" s="11" t="inlineStr">
        <is>
          <t>Mathews</t>
        </is>
      </c>
      <c r="D6" s="12" t="inlineStr">
        <is>
          <t>SCOTUS</t>
        </is>
      </c>
      <c r="E6" s="12" t="inlineStr">
        <is>
          <t>Federal</t>
        </is>
      </c>
      <c r="F6" s="12" t="n">
        <v>1976</v>
      </c>
      <c r="G6" s="12" t="inlineStr">
        <is>
          <t>E</t>
        </is>
      </c>
      <c r="H6" s="10" t="inlineStr">
        <is>
          <t>JTC,MSC Super,Federal</t>
        </is>
      </c>
      <c r="I6" s="13" t="n">
        <v>90</v>
      </c>
      <c r="J6" s="12" t="inlineStr">
        <is>
          <t>COMPLETE</t>
        </is>
      </c>
      <c r="K6" s="10" t="inlineStr">
        <is>
          <t>Three-part due process balancing test</t>
        </is>
      </c>
      <c r="L6" s="10" t="inlineStr">
        <is>
          <t>Framework for all DP claims</t>
        </is>
      </c>
    </row>
    <row r="7">
      <c r="A7" s="4" t="n">
        <v>3</v>
      </c>
      <c r="B7" s="5" t="inlineStr">
        <is>
          <t>Monell v. Dept. Social Services, 436 U.S. 658 (1978)</t>
        </is>
      </c>
      <c r="C7" s="6" t="inlineStr">
        <is>
          <t>Monell</t>
        </is>
      </c>
      <c r="D7" s="7" t="inlineStr">
        <is>
          <t>SCOTUS</t>
        </is>
      </c>
      <c r="E7" s="7" t="inlineStr">
        <is>
          <t>Federal</t>
        </is>
      </c>
      <c r="F7" s="7" t="n">
        <v>1978</v>
      </c>
      <c r="G7" s="7" t="inlineStr">
        <is>
          <t>E</t>
        </is>
      </c>
      <c r="H7" s="5" t="inlineStr">
        <is>
          <t>Federal</t>
        </is>
      </c>
      <c r="I7" s="8" t="n">
        <v>90</v>
      </c>
      <c r="J7" s="7" t="inlineStr">
        <is>
          <t>COMPLETE</t>
        </is>
      </c>
      <c r="K7" s="5" t="inlineStr">
        <is>
          <t>Municipal liability under §1983 requires policy/custom</t>
        </is>
      </c>
      <c r="L7" s="5" t="inlineStr">
        <is>
          <t>Basis for institutional claims</t>
        </is>
      </c>
    </row>
    <row r="8">
      <c r="A8" s="9" t="n">
        <v>4</v>
      </c>
      <c r="B8" s="10" t="inlineStr">
        <is>
          <t>Santosky v. Kramer, 455 U.S. 745 (1982)</t>
        </is>
      </c>
      <c r="C8" s="11" t="inlineStr">
        <is>
          <t>Santosky</t>
        </is>
      </c>
      <c r="D8" s="12" t="inlineStr">
        <is>
          <t>SCOTUS</t>
        </is>
      </c>
      <c r="E8" s="12" t="inlineStr">
        <is>
          <t>Federal</t>
        </is>
      </c>
      <c r="F8" s="12" t="n">
        <v>1982</v>
      </c>
      <c r="G8" s="12" t="inlineStr">
        <is>
          <t>A</t>
        </is>
      </c>
      <c r="H8" s="10" t="inlineStr">
        <is>
          <t>Contempt,Emergency PT</t>
        </is>
      </c>
      <c r="I8" s="13" t="n">
        <v>85</v>
      </c>
      <c r="J8" s="12" t="inlineStr">
        <is>
          <t>STRONG</t>
        </is>
      </c>
      <c r="K8" s="10" t="inlineStr">
        <is>
          <t>Clear and convincing evidence standard for parental rights</t>
        </is>
      </c>
      <c r="L8" s="10" t="inlineStr">
        <is>
          <t>Heightened burden required</t>
        </is>
      </c>
    </row>
    <row r="9">
      <c r="A9" s="4" t="n">
        <v>5</v>
      </c>
      <c r="B9" s="5" t="inlineStr">
        <is>
          <t>Stanley v. Illinois, 405 U.S. 645 (1972)</t>
        </is>
      </c>
      <c r="C9" s="6" t="inlineStr">
        <is>
          <t>Stanley</t>
        </is>
      </c>
      <c r="D9" s="7" t="inlineStr">
        <is>
          <t>SCOTUS</t>
        </is>
      </c>
      <c r="E9" s="7" t="inlineStr">
        <is>
          <t>Federal</t>
        </is>
      </c>
      <c r="F9" s="7" t="n">
        <v>1972</v>
      </c>
      <c r="G9" s="7" t="inlineStr">
        <is>
          <t>A</t>
        </is>
      </c>
      <c r="H9" s="5" t="inlineStr">
        <is>
          <t>Contempt,Emergency PT,JTC</t>
        </is>
      </c>
      <c r="I9" s="8" t="n">
        <v>85</v>
      </c>
      <c r="J9" s="7" t="inlineStr">
        <is>
          <t>COMPLETE</t>
        </is>
      </c>
      <c r="K9" s="5" t="inlineStr">
        <is>
          <t>Unwed fathers have protected parental rights</t>
        </is>
      </c>
      <c r="L9" s="5" t="inlineStr">
        <is>
          <t>Foundation for father's rights claims</t>
        </is>
      </c>
    </row>
    <row r="10">
      <c r="A10" s="9" t="n">
        <v>6</v>
      </c>
      <c r="B10" s="10" t="inlineStr">
        <is>
          <t>Lassiter v. Dept. Social Services, 452 U.S. 18 (1981)</t>
        </is>
      </c>
      <c r="C10" s="11" t="inlineStr">
        <is>
          <t>Lassiter</t>
        </is>
      </c>
      <c r="D10" s="12" t="inlineStr">
        <is>
          <t>SCOTUS</t>
        </is>
      </c>
      <c r="E10" s="12" t="inlineStr">
        <is>
          <t>Federal</t>
        </is>
      </c>
      <c r="F10" s="12" t="n">
        <v>1981</v>
      </c>
      <c r="G10" s="12" t="inlineStr">
        <is>
          <t>A,E</t>
        </is>
      </c>
      <c r="H10" s="10" t="inlineStr">
        <is>
          <t>JTC,MSC Super</t>
        </is>
      </c>
      <c r="I10" s="13" t="n">
        <v>80</v>
      </c>
      <c r="J10" s="12" t="inlineStr">
        <is>
          <t>STRONG</t>
        </is>
      </c>
      <c r="K10" s="10" t="inlineStr">
        <is>
          <t>Due process may require counsel in custody proceedings</t>
        </is>
      </c>
      <c r="L10" s="10" t="inlineStr">
        <is>
          <t>Supports right-to-counsel argument</t>
        </is>
      </c>
    </row>
    <row r="11">
      <c r="A11" s="4" t="n">
        <v>7</v>
      </c>
      <c r="B11" s="5" t="inlineStr">
        <is>
          <t>Turner v. Rogers, 564 U.S. 431 (2011)</t>
        </is>
      </c>
      <c r="C11" s="6" t="inlineStr">
        <is>
          <t>Turner</t>
        </is>
      </c>
      <c r="D11" s="7" t="inlineStr">
        <is>
          <t>SCOTUS</t>
        </is>
      </c>
      <c r="E11" s="7" t="inlineStr">
        <is>
          <t>Federal</t>
        </is>
      </c>
      <c r="F11" s="7" t="n">
        <v>2011</v>
      </c>
      <c r="G11" s="7" t="inlineStr">
        <is>
          <t>A,E</t>
        </is>
      </c>
      <c r="H11" s="5" t="inlineStr">
        <is>
          <t>JTC,MSC Super,Contempt</t>
        </is>
      </c>
      <c r="I11" s="8" t="n">
        <v>80</v>
      </c>
      <c r="J11" s="7" t="inlineStr">
        <is>
          <t>COMPLETE</t>
        </is>
      </c>
      <c r="K11" s="5" t="inlineStr">
        <is>
          <t>Procedural safeguards required for pro se litigants</t>
        </is>
      </c>
      <c r="L11" s="5" t="inlineStr">
        <is>
          <t>Key for pro se protection claims</t>
        </is>
      </c>
    </row>
    <row r="12">
      <c r="A12" s="9" t="n">
        <v>8</v>
      </c>
      <c r="B12" s="10" t="inlineStr">
        <is>
          <t>Caperton v. Massey, 556 U.S. 868 (2009)</t>
        </is>
      </c>
      <c r="C12" s="11" t="inlineStr">
        <is>
          <t>Caperton</t>
        </is>
      </c>
      <c r="D12" s="12" t="inlineStr">
        <is>
          <t>SCOTUS</t>
        </is>
      </c>
      <c r="E12" s="12" t="inlineStr">
        <is>
          <t>Federal</t>
        </is>
      </c>
      <c r="F12" s="12" t="n">
        <v>2009</v>
      </c>
      <c r="G12" s="12" t="inlineStr">
        <is>
          <t>E</t>
        </is>
      </c>
      <c r="H12" s="10" t="inlineStr">
        <is>
          <t>JTC,Disqual</t>
        </is>
      </c>
      <c r="I12" s="13" t="n">
        <v>85</v>
      </c>
      <c r="J12" s="12" t="inlineStr">
        <is>
          <t>COMPLETE</t>
        </is>
      </c>
      <c r="K12" s="10" t="inlineStr">
        <is>
          <t>Due process requires recusal for probability of bias</t>
        </is>
      </c>
      <c r="L12" s="10" t="inlineStr">
        <is>
          <t>Strongest bias/disqual authority</t>
        </is>
      </c>
    </row>
    <row r="13">
      <c r="A13" s="4" t="n">
        <v>9</v>
      </c>
      <c r="B13" s="5" t="inlineStr">
        <is>
          <t>Texas Dept. v. Leblanc, 137 S.Ct. 1098 (2017)</t>
        </is>
      </c>
      <c r="C13" s="6" t="inlineStr">
        <is>
          <t>Leblanc</t>
        </is>
      </c>
      <c r="D13" s="7" t="inlineStr">
        <is>
          <t>SCOTUS</t>
        </is>
      </c>
      <c r="E13" s="7" t="inlineStr">
        <is>
          <t>Federal</t>
        </is>
      </c>
      <c r="F13" s="7" t="n">
        <v>2017</v>
      </c>
      <c r="G13" s="7" t="inlineStr">
        <is>
          <t>E</t>
        </is>
      </c>
      <c r="H13" s="5" t="inlineStr">
        <is>
          <t>Federal</t>
        </is>
      </c>
      <c r="I13" s="8" t="n">
        <v>75</v>
      </c>
      <c r="J13" s="7" t="inlineStr">
        <is>
          <t>STRONG</t>
        </is>
      </c>
      <c r="K13" s="5" t="inlineStr">
        <is>
          <t>Clearly established right standard for §1983</t>
        </is>
      </c>
      <c r="L13" s="5" t="inlineStr">
        <is>
          <t>Qualified immunity analysis</t>
        </is>
      </c>
    </row>
    <row r="14">
      <c r="A14" s="9" t="n">
        <v>10</v>
      </c>
      <c r="B14" s="10" t="inlineStr">
        <is>
          <t>Heck v. Humphrey, 512 U.S. 477 (1994)</t>
        </is>
      </c>
      <c r="C14" s="11" t="inlineStr">
        <is>
          <t>Heck</t>
        </is>
      </c>
      <c r="D14" s="12" t="inlineStr">
        <is>
          <t>SCOTUS</t>
        </is>
      </c>
      <c r="E14" s="12" t="inlineStr">
        <is>
          <t>Federal</t>
        </is>
      </c>
      <c r="F14" s="12" t="n">
        <v>1994</v>
      </c>
      <c r="G14" s="12" t="inlineStr">
        <is>
          <t>E</t>
        </is>
      </c>
      <c r="H14" s="10" t="inlineStr">
        <is>
          <t>Federal</t>
        </is>
      </c>
      <c r="I14" s="13" t="n">
        <v>70</v>
      </c>
      <c r="J14" s="12" t="inlineStr">
        <is>
          <t>GAPS</t>
        </is>
      </c>
      <c r="K14" s="10" t="inlineStr">
        <is>
          <t>§1983 requires favorable termination of underlying proceeding</t>
        </is>
      </c>
      <c r="L14" s="10" t="inlineStr">
        <is>
          <t>May limit timing of federal suit</t>
        </is>
      </c>
    </row>
    <row r="15">
      <c r="A15" s="14" t="n">
        <v>11</v>
      </c>
      <c r="B15" s="5" t="inlineStr">
        <is>
          <t>Vodvarka v. Grasmeyer, 259 Mich App 499 (2003)</t>
        </is>
      </c>
      <c r="C15" s="6" t="inlineStr">
        <is>
          <t>Vodvarka</t>
        </is>
      </c>
      <c r="D15" s="7" t="inlineStr">
        <is>
          <t>MI_COA</t>
        </is>
      </c>
      <c r="E15" s="7" t="inlineStr">
        <is>
          <t>Michigan</t>
        </is>
      </c>
      <c r="F15" s="7" t="n">
        <v>2003</v>
      </c>
      <c r="G15" s="7" t="inlineStr">
        <is>
          <t>A</t>
        </is>
      </c>
      <c r="H15" s="5" t="inlineStr">
        <is>
          <t>Contempt,Emergency PT,COA Brief</t>
        </is>
      </c>
      <c r="I15" s="8" t="n">
        <v>95</v>
      </c>
      <c r="J15" s="7" t="inlineStr">
        <is>
          <t>COMPLETE</t>
        </is>
      </c>
      <c r="K15" s="5" t="inlineStr">
        <is>
          <t>Proper cause/change of circumstances threshold for custody modification</t>
        </is>
      </c>
      <c r="L15" s="5" t="inlineStr">
        <is>
          <t>Controlling standard Lane A</t>
        </is>
      </c>
    </row>
    <row r="16">
      <c r="A16" s="15" t="n">
        <v>12</v>
      </c>
      <c r="B16" s="10" t="inlineStr">
        <is>
          <t>Pierron v. Pierron, 486 Mich 81 (2010)</t>
        </is>
      </c>
      <c r="C16" s="11" t="inlineStr">
        <is>
          <t>Pierron</t>
        </is>
      </c>
      <c r="D16" s="12" t="inlineStr">
        <is>
          <t>MI_SC</t>
        </is>
      </c>
      <c r="E16" s="12" t="inlineStr">
        <is>
          <t>Michigan</t>
        </is>
      </c>
      <c r="F16" s="12" t="n">
        <v>2010</v>
      </c>
      <c r="G16" s="12" t="inlineStr">
        <is>
          <t>A</t>
        </is>
      </c>
      <c r="H16" s="10" t="inlineStr">
        <is>
          <t>Contempt,Emergency PT,COA Brief</t>
        </is>
      </c>
      <c r="I16" s="13" t="n">
        <v>90</v>
      </c>
      <c r="J16" s="12" t="inlineStr">
        <is>
          <t>COMPLETE</t>
        </is>
      </c>
      <c r="K16" s="10" t="inlineStr">
        <is>
          <t>Best interest factors must be individually analyzed</t>
        </is>
      </c>
      <c r="L16" s="10" t="inlineStr">
        <is>
          <t>Binding on all MI courts</t>
        </is>
      </c>
    </row>
    <row r="17">
      <c r="A17" s="14" t="n">
        <v>13</v>
      </c>
      <c r="B17" s="5" t="inlineStr">
        <is>
          <t>Shade v. Wright, 291 Mich App 17 (2010)</t>
        </is>
      </c>
      <c r="C17" s="6" t="inlineStr">
        <is>
          <t>Shade</t>
        </is>
      </c>
      <c r="D17" s="7" t="inlineStr">
        <is>
          <t>MI_COA</t>
        </is>
      </c>
      <c r="E17" s="7" t="inlineStr">
        <is>
          <t>Michigan</t>
        </is>
      </c>
      <c r="F17" s="7" t="n">
        <v>2010</v>
      </c>
      <c r="G17" s="7" t="inlineStr">
        <is>
          <t>A</t>
        </is>
      </c>
      <c r="H17" s="5" t="inlineStr">
        <is>
          <t>Contempt,Emergency PT,COA Brief</t>
        </is>
      </c>
      <c r="I17" s="8" t="n">
        <v>90</v>
      </c>
      <c r="J17" s="7" t="inlineStr">
        <is>
          <t>COMPLETE</t>
        </is>
      </c>
      <c r="K17" s="5" t="inlineStr">
        <is>
          <t>Parental alienation as change of circumstances</t>
        </is>
      </c>
      <c r="L17" s="5" t="inlineStr">
        <is>
          <t>Key alienation authority</t>
        </is>
      </c>
    </row>
    <row r="18">
      <c r="A18" s="15" t="n">
        <v>14</v>
      </c>
      <c r="B18" s="10" t="inlineStr">
        <is>
          <t>Brown v. Loveman, 260 Mich App 576 (2004)</t>
        </is>
      </c>
      <c r="C18" s="11" t="inlineStr">
        <is>
          <t>Brown</t>
        </is>
      </c>
      <c r="D18" s="12" t="inlineStr">
        <is>
          <t>MI_COA</t>
        </is>
      </c>
      <c r="E18" s="12" t="inlineStr">
        <is>
          <t>Michigan</t>
        </is>
      </c>
      <c r="F18" s="12" t="n">
        <v>2004</v>
      </c>
      <c r="G18" s="12" t="inlineStr">
        <is>
          <t>A</t>
        </is>
      </c>
      <c r="H18" s="10" t="inlineStr">
        <is>
          <t>Contempt,COA Brief</t>
        </is>
      </c>
      <c r="I18" s="13" t="n">
        <v>85</v>
      </c>
      <c r="J18" s="12" t="inlineStr">
        <is>
          <t>STRONG</t>
        </is>
      </c>
      <c r="K18" s="10" t="inlineStr">
        <is>
          <t>Custody modification requires demonstrated impact on child</t>
        </is>
      </c>
      <c r="L18" s="10" t="inlineStr">
        <is>
          <t>Supports modification motion</t>
        </is>
      </c>
    </row>
    <row r="19">
      <c r="A19" s="14" t="n">
        <v>15</v>
      </c>
      <c r="B19" s="5" t="inlineStr">
        <is>
          <t>Eldred v. Ziny, 246 Mich App 142 (2001)</t>
        </is>
      </c>
      <c r="C19" s="6" t="inlineStr">
        <is>
          <t>Eldred</t>
        </is>
      </c>
      <c r="D19" s="7" t="inlineStr">
        <is>
          <t>MI_COA</t>
        </is>
      </c>
      <c r="E19" s="7" t="inlineStr">
        <is>
          <t>Michigan</t>
        </is>
      </c>
      <c r="F19" s="7" t="n">
        <v>2001</v>
      </c>
      <c r="G19" s="7" t="inlineStr">
        <is>
          <t>A</t>
        </is>
      </c>
      <c r="H19" s="5" t="inlineStr">
        <is>
          <t>Emergency PT,COA Brief</t>
        </is>
      </c>
      <c r="I19" s="8" t="n">
        <v>85</v>
      </c>
      <c r="J19" s="7" t="inlineStr">
        <is>
          <t>COMPLETE</t>
        </is>
      </c>
      <c r="K19" s="5" t="inlineStr">
        <is>
          <t>Parenting time denial may constitute contempt</t>
        </is>
      </c>
      <c r="L19" s="5" t="inlineStr">
        <is>
          <t>PT enforcement authority</t>
        </is>
      </c>
    </row>
    <row r="20">
      <c r="A20" s="16" t="n">
        <v>16</v>
      </c>
      <c r="B20" s="10" t="inlineStr">
        <is>
          <t>MCL 722.23</t>
        </is>
      </c>
      <c r="C20" s="11" t="inlineStr">
        <is>
          <t>BIF §722.23</t>
        </is>
      </c>
      <c r="D20" s="12" t="inlineStr">
        <is>
          <t>MCL</t>
        </is>
      </c>
      <c r="E20" s="12" t="inlineStr">
        <is>
          <t>Michigan</t>
        </is>
      </c>
      <c r="F20" s="12" t="n">
        <v>1970</v>
      </c>
      <c r="G20" s="12" t="inlineStr">
        <is>
          <t>A</t>
        </is>
      </c>
      <c r="H20" s="10" t="inlineStr">
        <is>
          <t>Contempt,Emergency PT,COA Brief,Disqual</t>
        </is>
      </c>
      <c r="I20" s="13" t="n">
        <v>95</v>
      </c>
      <c r="J20" s="12" t="inlineStr">
        <is>
          <t>COMPLETE</t>
        </is>
      </c>
      <c r="K20" s="10" t="inlineStr">
        <is>
          <t>12 Best Interest Factors — statutory framework</t>
        </is>
      </c>
      <c r="L20" s="10" t="inlineStr">
        <is>
          <t>Must address all 12 factors</t>
        </is>
      </c>
    </row>
    <row r="21">
      <c r="A21" s="17" t="n">
        <v>17</v>
      </c>
      <c r="B21" s="5" t="inlineStr">
        <is>
          <t>MCL 722.27a</t>
        </is>
      </c>
      <c r="C21" s="6" t="inlineStr">
        <is>
          <t>PT §722.27a</t>
        </is>
      </c>
      <c r="D21" s="7" t="inlineStr">
        <is>
          <t>MCL</t>
        </is>
      </c>
      <c r="E21" s="7" t="inlineStr">
        <is>
          <t>Michigan</t>
        </is>
      </c>
      <c r="F21" s="7" t="n">
        <v>1970</v>
      </c>
      <c r="G21" s="7" t="inlineStr">
        <is>
          <t>A</t>
        </is>
      </c>
      <c r="H21" s="5" t="inlineStr">
        <is>
          <t>Emergency PT,COA Brief,Contempt</t>
        </is>
      </c>
      <c r="I21" s="8" t="n">
        <v>90</v>
      </c>
      <c r="J21" s="7" t="inlineStr">
        <is>
          <t>COMPLETE</t>
        </is>
      </c>
      <c r="K21" s="5" t="inlineStr">
        <is>
          <t>Parenting time statute — frequency, conditions, enforcement</t>
        </is>
      </c>
      <c r="L21" s="5" t="inlineStr">
        <is>
          <t>Statutory basis for PT motions</t>
        </is>
      </c>
    </row>
    <row r="22">
      <c r="A22" s="16" t="n">
        <v>18</v>
      </c>
      <c r="B22" s="10" t="inlineStr">
        <is>
          <t>MCL 552.1 et seq</t>
        </is>
      </c>
      <c r="C22" s="11" t="inlineStr">
        <is>
          <t>Contempt §552.1</t>
        </is>
      </c>
      <c r="D22" s="12" t="inlineStr">
        <is>
          <t>MCL</t>
        </is>
      </c>
      <c r="E22" s="12" t="inlineStr">
        <is>
          <t>Michigan</t>
        </is>
      </c>
      <c r="F22" s="12" t="n">
        <v>1970</v>
      </c>
      <c r="G22" s="12" t="inlineStr">
        <is>
          <t>A</t>
        </is>
      </c>
      <c r="H22" s="10" t="inlineStr">
        <is>
          <t>Contempt</t>
        </is>
      </c>
      <c r="I22" s="13" t="n">
        <v>85</v>
      </c>
      <c r="J22" s="12" t="inlineStr">
        <is>
          <t>COMPLETE</t>
        </is>
      </c>
      <c r="K22" s="10" t="inlineStr">
        <is>
          <t>Contempt of custody/parenting time orders</t>
        </is>
      </c>
      <c r="L22" s="10" t="inlineStr">
        <is>
          <t>Enforcement mechanism</t>
        </is>
      </c>
    </row>
    <row r="23">
      <c r="A23" s="17" t="n">
        <v>19</v>
      </c>
      <c r="B23" s="5" t="inlineStr">
        <is>
          <t>MCL 750.159i</t>
        </is>
      </c>
      <c r="C23" s="6" t="inlineStr">
        <is>
          <t>RICO §750.159i</t>
        </is>
      </c>
      <c r="D23" s="7" t="inlineStr">
        <is>
          <t>MCL</t>
        </is>
      </c>
      <c r="E23" s="7" t="inlineStr">
        <is>
          <t>Michigan</t>
        </is>
      </c>
      <c r="F23" s="7" t="n">
        <v>1970</v>
      </c>
      <c r="G23" s="7" t="inlineStr">
        <is>
          <t>B</t>
        </is>
      </c>
      <c r="H23" s="5" t="inlineStr">
        <is>
          <t>Housing,Tort</t>
        </is>
      </c>
      <c r="I23" s="8" t="n">
        <v>90</v>
      </c>
      <c r="J23" s="7" t="inlineStr">
        <is>
          <t>STRONG</t>
        </is>
      </c>
      <c r="K23" s="5" t="inlineStr">
        <is>
          <t>Michigan RICO — pattern of criminal activity</t>
        </is>
      </c>
      <c r="L23" s="5" t="inlineStr">
        <is>
          <t>Housing fraud pattern claims</t>
        </is>
      </c>
    </row>
    <row r="24">
      <c r="A24" s="16" t="n">
        <v>20</v>
      </c>
      <c r="B24" s="10" t="inlineStr">
        <is>
          <t>MCL 600.2919a</t>
        </is>
      </c>
      <c r="C24" s="11" t="inlineStr">
        <is>
          <t>Conversion §600.2919a</t>
        </is>
      </c>
      <c r="D24" s="12" t="inlineStr">
        <is>
          <t>MCL</t>
        </is>
      </c>
      <c r="E24" s="12" t="inlineStr">
        <is>
          <t>Michigan</t>
        </is>
      </c>
      <c r="F24" s="12" t="n">
        <v>1970</v>
      </c>
      <c r="G24" s="12" t="inlineStr">
        <is>
          <t>B</t>
        </is>
      </c>
      <c r="H24" s="10" t="inlineStr">
        <is>
          <t>Housing,Tort</t>
        </is>
      </c>
      <c r="I24" s="13" t="n">
        <v>85</v>
      </c>
      <c r="J24" s="12" t="inlineStr">
        <is>
          <t>STRONG</t>
        </is>
      </c>
      <c r="K24" s="10" t="inlineStr">
        <is>
          <t>Conversion — treble damages available</t>
        </is>
      </c>
      <c r="L24" s="10" t="inlineStr">
        <is>
          <t>Property destruction claims</t>
        </is>
      </c>
    </row>
    <row r="25">
      <c r="A25" s="17" t="n">
        <v>21</v>
      </c>
      <c r="B25" s="5" t="inlineStr">
        <is>
          <t>MCL 125.2301 et seq</t>
        </is>
      </c>
      <c r="C25" s="6" t="inlineStr">
        <is>
          <t>MHC Act §125.2301</t>
        </is>
      </c>
      <c r="D25" s="7" t="inlineStr">
        <is>
          <t>MCL</t>
        </is>
      </c>
      <c r="E25" s="7" t="inlineStr">
        <is>
          <t>Michigan</t>
        </is>
      </c>
      <c r="F25" s="7" t="n">
        <v>1970</v>
      </c>
      <c r="G25" s="7" t="inlineStr">
        <is>
          <t>B</t>
        </is>
      </c>
      <c r="H25" s="5" t="inlineStr">
        <is>
          <t>Housing</t>
        </is>
      </c>
      <c r="I25" s="8" t="n">
        <v>85</v>
      </c>
      <c r="J25" s="7" t="inlineStr">
        <is>
          <t>COMPLETE</t>
        </is>
      </c>
      <c r="K25" s="5" t="inlineStr">
        <is>
          <t>Mobile Home Commission Act — park owner duties</t>
        </is>
      </c>
      <c r="L25" s="5" t="inlineStr">
        <is>
          <t>Regulatory framework for Shady Oaks</t>
        </is>
      </c>
    </row>
    <row r="26">
      <c r="A26" s="16" t="n">
        <v>22</v>
      </c>
      <c r="B26" s="10" t="inlineStr">
        <is>
          <t>MCL 445.903</t>
        </is>
      </c>
      <c r="C26" s="11" t="inlineStr">
        <is>
          <t>MCPA §445.903</t>
        </is>
      </c>
      <c r="D26" s="12" t="inlineStr">
        <is>
          <t>MCL</t>
        </is>
      </c>
      <c r="E26" s="12" t="inlineStr">
        <is>
          <t>Michigan</t>
        </is>
      </c>
      <c r="F26" s="12" t="n">
        <v>1976</v>
      </c>
      <c r="G26" s="12" t="inlineStr">
        <is>
          <t>B</t>
        </is>
      </c>
      <c r="H26" s="10" t="inlineStr">
        <is>
          <t>Housing,Tort</t>
        </is>
      </c>
      <c r="I26" s="13" t="n">
        <v>80</v>
      </c>
      <c r="J26" s="12" t="inlineStr">
        <is>
          <t>STRONG</t>
        </is>
      </c>
      <c r="K26" s="10" t="inlineStr">
        <is>
          <t>Michigan Consumer Protection Act — unfair practices</t>
        </is>
      </c>
      <c r="L26" s="10" t="inlineStr">
        <is>
          <t>Deceptive practices claims</t>
        </is>
      </c>
    </row>
    <row r="27">
      <c r="A27" s="17" t="n">
        <v>23</v>
      </c>
      <c r="B27" s="5" t="inlineStr">
        <is>
          <t>MCL 554.631</t>
        </is>
      </c>
      <c r="C27" s="6" t="inlineStr">
        <is>
          <t>TRA §554.631</t>
        </is>
      </c>
      <c r="D27" s="7" t="inlineStr">
        <is>
          <t>MCL</t>
        </is>
      </c>
      <c r="E27" s="7" t="inlineStr">
        <is>
          <t>Michigan</t>
        </is>
      </c>
      <c r="F27" s="7" t="n">
        <v>1968</v>
      </c>
      <c r="G27" s="7" t="inlineStr">
        <is>
          <t>B</t>
        </is>
      </c>
      <c r="H27" s="5" t="inlineStr">
        <is>
          <t>Housing</t>
        </is>
      </c>
      <c r="I27" s="8" t="n">
        <v>75</v>
      </c>
      <c r="J27" s="7" t="inlineStr">
        <is>
          <t>GAPS</t>
        </is>
      </c>
      <c r="K27" s="5" t="inlineStr">
        <is>
          <t>Truth in Renting Act — prohibited lease provisions</t>
        </is>
      </c>
      <c r="L27" s="5" t="inlineStr">
        <is>
          <t>Lease clause challenges</t>
        </is>
      </c>
    </row>
    <row r="28">
      <c r="A28" s="16" t="n">
        <v>24</v>
      </c>
      <c r="B28" s="10" t="inlineStr">
        <is>
          <t>MCL 600.5720</t>
        </is>
      </c>
      <c r="C28" s="11" t="inlineStr">
        <is>
          <t>Retaliation §600.5720</t>
        </is>
      </c>
      <c r="D28" s="12" t="inlineStr">
        <is>
          <t>MCL</t>
        </is>
      </c>
      <c r="E28" s="12" t="inlineStr">
        <is>
          <t>Michigan</t>
        </is>
      </c>
      <c r="F28" s="12" t="n">
        <v>1970</v>
      </c>
      <c r="G28" s="12" t="inlineStr">
        <is>
          <t>B</t>
        </is>
      </c>
      <c r="H28" s="10" t="inlineStr">
        <is>
          <t>Housing</t>
        </is>
      </c>
      <c r="I28" s="13" t="n">
        <v>80</v>
      </c>
      <c r="J28" s="12" t="inlineStr">
        <is>
          <t>STRONG</t>
        </is>
      </c>
      <c r="K28" s="10" t="inlineStr">
        <is>
          <t>Retaliatory eviction defense and counterclaim</t>
        </is>
      </c>
      <c r="L28" s="10" t="inlineStr">
        <is>
          <t>Eviction defense</t>
        </is>
      </c>
    </row>
    <row r="29">
      <c r="A29" s="17" t="n">
        <v>25</v>
      </c>
      <c r="B29" s="5" t="inlineStr">
        <is>
          <t>MCL 600.5805</t>
        </is>
      </c>
      <c r="C29" s="6" t="inlineStr">
        <is>
          <t>SOL §600.5805</t>
        </is>
      </c>
      <c r="D29" s="7" t="inlineStr">
        <is>
          <t>MCL</t>
        </is>
      </c>
      <c r="E29" s="7" t="inlineStr">
        <is>
          <t>Michigan</t>
        </is>
      </c>
      <c r="F29" s="7" t="n">
        <v>1970</v>
      </c>
      <c r="G29" s="7" t="inlineStr">
        <is>
          <t>A,B,E</t>
        </is>
      </c>
      <c r="H29" s="5" t="inlineStr">
        <is>
          <t>Housing,Tort,Federal</t>
        </is>
      </c>
      <c r="I29" s="8" t="n">
        <v>85</v>
      </c>
      <c r="J29" s="7" t="inlineStr">
        <is>
          <t>COMPLETE</t>
        </is>
      </c>
      <c r="K29" s="5" t="inlineStr">
        <is>
          <t>Statute of limitations for tort actions (3 years)</t>
        </is>
      </c>
      <c r="L29" s="5" t="inlineStr">
        <is>
          <t>Timeliness defense/argument</t>
        </is>
      </c>
    </row>
    <row r="30">
      <c r="A30" s="18" t="n">
        <v>26</v>
      </c>
      <c r="B30" s="10" t="inlineStr">
        <is>
          <t>MCR 2.003</t>
        </is>
      </c>
      <c r="C30" s="11" t="inlineStr">
        <is>
          <t>Disqual MCR 2.003</t>
        </is>
      </c>
      <c r="D30" s="12" t="inlineStr">
        <is>
          <t>MCR</t>
        </is>
      </c>
      <c r="E30" s="12" t="inlineStr">
        <is>
          <t>Michigan</t>
        </is>
      </c>
      <c r="F30" s="12" t="n">
        <v>2019</v>
      </c>
      <c r="G30" s="12" t="inlineStr">
        <is>
          <t>E</t>
        </is>
      </c>
      <c r="H30" s="10" t="inlineStr">
        <is>
          <t>Disqual,JTC,MSC Super</t>
        </is>
      </c>
      <c r="I30" s="13" t="n">
        <v>95</v>
      </c>
      <c r="J30" s="12" t="inlineStr">
        <is>
          <t>COMPLETE</t>
        </is>
      </c>
      <c r="K30" s="10" t="inlineStr">
        <is>
          <t>Judicial disqualification — grounds and procedure</t>
        </is>
      </c>
      <c r="L30" s="10" t="inlineStr">
        <is>
          <t>Core disqualification authority</t>
        </is>
      </c>
    </row>
    <row r="31">
      <c r="A31" s="19" t="n">
        <v>27</v>
      </c>
      <c r="B31" s="5" t="inlineStr">
        <is>
          <t>MCR 2.119</t>
        </is>
      </c>
      <c r="C31" s="6" t="inlineStr">
        <is>
          <t>Motions MCR 2.119</t>
        </is>
      </c>
      <c r="D31" s="7" t="inlineStr">
        <is>
          <t>MCR</t>
        </is>
      </c>
      <c r="E31" s="7" t="inlineStr">
        <is>
          <t>Michigan</t>
        </is>
      </c>
      <c r="F31" s="7" t="n">
        <v>2019</v>
      </c>
      <c r="G31" s="7" t="inlineStr">
        <is>
          <t>A,B,D</t>
        </is>
      </c>
      <c r="H31" s="5" t="inlineStr">
        <is>
          <t>Contempt,Emergency PT,Housing,Disqual</t>
        </is>
      </c>
      <c r="I31" s="8" t="n">
        <v>80</v>
      </c>
      <c r="J31" s="7" t="inlineStr">
        <is>
          <t>COMPLETE</t>
        </is>
      </c>
      <c r="K31" s="5" t="inlineStr">
        <is>
          <t>Motion practice — form, service, response timing</t>
        </is>
      </c>
      <c r="L31" s="5" t="inlineStr">
        <is>
          <t>Procedural compliance baseline</t>
        </is>
      </c>
    </row>
    <row r="32">
      <c r="A32" s="18" t="n">
        <v>28</v>
      </c>
      <c r="B32" s="10" t="inlineStr">
        <is>
          <t>MCR 2.612(C)(1)</t>
        </is>
      </c>
      <c r="C32" s="11" t="inlineStr">
        <is>
          <t>Void Jdg MCR 2.612</t>
        </is>
      </c>
      <c r="D32" s="12" t="inlineStr">
        <is>
          <t>MCR</t>
        </is>
      </c>
      <c r="E32" s="12" t="inlineStr">
        <is>
          <t>Michigan</t>
        </is>
      </c>
      <c r="F32" s="12" t="n">
        <v>2019</v>
      </c>
      <c r="G32" s="12" t="inlineStr">
        <is>
          <t>E,F</t>
        </is>
      </c>
      <c r="H32" s="10" t="inlineStr">
        <is>
          <t>MSC Super,COA Brief</t>
        </is>
      </c>
      <c r="I32" s="13" t="n">
        <v>90</v>
      </c>
      <c r="J32" s="12" t="inlineStr">
        <is>
          <t>COMPLETE</t>
        </is>
      </c>
      <c r="K32" s="10" t="inlineStr">
        <is>
          <t>Relief from void judgment — no time limit</t>
        </is>
      </c>
      <c r="L32" s="10" t="inlineStr">
        <is>
          <t>Void orders permanently challengeable</t>
        </is>
      </c>
    </row>
    <row r="33">
      <c r="A33" s="19" t="n">
        <v>29</v>
      </c>
      <c r="B33" s="5" t="inlineStr">
        <is>
          <t>MCR 3.206</t>
        </is>
      </c>
      <c r="C33" s="6" t="inlineStr">
        <is>
          <t>DR Pleadings MCR 3.206</t>
        </is>
      </c>
      <c r="D33" s="7" t="inlineStr">
        <is>
          <t>MCR</t>
        </is>
      </c>
      <c r="E33" s="7" t="inlineStr">
        <is>
          <t>Michigan</t>
        </is>
      </c>
      <c r="F33" s="7" t="n">
        <v>2019</v>
      </c>
      <c r="G33" s="7" t="inlineStr">
        <is>
          <t>A</t>
        </is>
      </c>
      <c r="H33" s="5" t="inlineStr">
        <is>
          <t>Contempt,Emergency PT</t>
        </is>
      </c>
      <c r="I33" s="8" t="n">
        <v>80</v>
      </c>
      <c r="J33" s="7" t="inlineStr">
        <is>
          <t>STRONG</t>
        </is>
      </c>
      <c r="K33" s="5" t="inlineStr">
        <is>
          <t>Domestic relations verified complaint requirements</t>
        </is>
      </c>
      <c r="L33" s="5" t="inlineStr">
        <is>
          <t>Pleading format compliance</t>
        </is>
      </c>
    </row>
    <row r="34">
      <c r="A34" s="18" t="n">
        <v>30</v>
      </c>
      <c r="B34" s="10" t="inlineStr">
        <is>
          <t>MCR 3.207</t>
        </is>
      </c>
      <c r="C34" s="11" t="inlineStr">
        <is>
          <t>DR Procedure MCR 3.207</t>
        </is>
      </c>
      <c r="D34" s="12" t="inlineStr">
        <is>
          <t>MCR</t>
        </is>
      </c>
      <c r="E34" s="12" t="inlineStr">
        <is>
          <t>Michigan</t>
        </is>
      </c>
      <c r="F34" s="12" t="n">
        <v>2019</v>
      </c>
      <c r="G34" s="12" t="inlineStr">
        <is>
          <t>A</t>
        </is>
      </c>
      <c r="H34" s="10" t="inlineStr">
        <is>
          <t>Contempt,Emergency PT</t>
        </is>
      </c>
      <c r="I34" s="13" t="n">
        <v>80</v>
      </c>
      <c r="J34" s="12" t="inlineStr">
        <is>
          <t>STRONG</t>
        </is>
      </c>
      <c r="K34" s="10" t="inlineStr">
        <is>
          <t>Domestic relations discovery and procedure</t>
        </is>
      </c>
      <c r="L34" s="10" t="inlineStr">
        <is>
          <t>DR-specific procedural rules</t>
        </is>
      </c>
    </row>
    <row r="35">
      <c r="A35" s="19" t="n">
        <v>31</v>
      </c>
      <c r="B35" s="5" t="inlineStr">
        <is>
          <t>MCR 7.204</t>
        </is>
      </c>
      <c r="C35" s="6" t="inlineStr">
        <is>
          <t>Appeal Right MCR 7.204</t>
        </is>
      </c>
      <c r="D35" s="7" t="inlineStr">
        <is>
          <t>MCR</t>
        </is>
      </c>
      <c r="E35" s="7" t="inlineStr">
        <is>
          <t>Michigan</t>
        </is>
      </c>
      <c r="F35" s="7" t="n">
        <v>2019</v>
      </c>
      <c r="G35" s="7" t="inlineStr">
        <is>
          <t>F</t>
        </is>
      </c>
      <c r="H35" s="5" t="inlineStr">
        <is>
          <t>COA Brief</t>
        </is>
      </c>
      <c r="I35" s="8" t="n">
        <v>85</v>
      </c>
      <c r="J35" s="7" t="inlineStr">
        <is>
          <t>COMPLETE</t>
        </is>
      </c>
      <c r="K35" s="5" t="inlineStr">
        <is>
          <t>Appeal of right — filing requirements and timing</t>
        </is>
      </c>
      <c r="L35" s="5" t="inlineStr">
        <is>
          <t>COA appeal procedure</t>
        </is>
      </c>
    </row>
    <row r="36">
      <c r="A36" s="18" t="n">
        <v>32</v>
      </c>
      <c r="B36" s="10" t="inlineStr">
        <is>
          <t>MCR 7.205</t>
        </is>
      </c>
      <c r="C36" s="11" t="inlineStr">
        <is>
          <t>Leave App MCR 7.205</t>
        </is>
      </c>
      <c r="D36" s="12" t="inlineStr">
        <is>
          <t>MCR</t>
        </is>
      </c>
      <c r="E36" s="12" t="inlineStr">
        <is>
          <t>Michigan</t>
        </is>
      </c>
      <c r="F36" s="12" t="n">
        <v>2019</v>
      </c>
      <c r="G36" s="12" t="inlineStr">
        <is>
          <t>F</t>
        </is>
      </c>
      <c r="H36" s="10" t="inlineStr">
        <is>
          <t>COA Brief</t>
        </is>
      </c>
      <c r="I36" s="13" t="n">
        <v>85</v>
      </c>
      <c r="J36" s="12" t="inlineStr">
        <is>
          <t>COMPLETE</t>
        </is>
      </c>
      <c r="K36" s="10" t="inlineStr">
        <is>
          <t>Application for leave to appeal — standards</t>
        </is>
      </c>
      <c r="L36" s="10" t="inlineStr">
        <is>
          <t>Discretionary appeal procedure</t>
        </is>
      </c>
    </row>
    <row r="37">
      <c r="A37" s="19" t="n">
        <v>33</v>
      </c>
      <c r="B37" s="5" t="inlineStr">
        <is>
          <t>MCR 7.212</t>
        </is>
      </c>
      <c r="C37" s="6" t="inlineStr">
        <is>
          <t>Briefs MCR 7.212</t>
        </is>
      </c>
      <c r="D37" s="7" t="inlineStr">
        <is>
          <t>MCR</t>
        </is>
      </c>
      <c r="E37" s="7" t="inlineStr">
        <is>
          <t>Michigan</t>
        </is>
      </c>
      <c r="F37" s="7" t="n">
        <v>2019</v>
      </c>
      <c r="G37" s="7" t="inlineStr">
        <is>
          <t>F</t>
        </is>
      </c>
      <c r="H37" s="5" t="inlineStr">
        <is>
          <t>COA Brief</t>
        </is>
      </c>
      <c r="I37" s="8" t="n">
        <v>85</v>
      </c>
      <c r="J37" s="7" t="inlineStr">
        <is>
          <t>COMPLETE</t>
        </is>
      </c>
      <c r="K37" s="5" t="inlineStr">
        <is>
          <t>Brief format, length, content requirements</t>
        </is>
      </c>
      <c r="L37" s="5" t="inlineStr">
        <is>
          <t>Appellate brief compliance</t>
        </is>
      </c>
    </row>
    <row r="38">
      <c r="A38" s="18" t="n">
        <v>34</v>
      </c>
      <c r="B38" s="10" t="inlineStr">
        <is>
          <t>MCR 7.304</t>
        </is>
      </c>
      <c r="C38" s="11" t="inlineStr">
        <is>
          <t>MSC Orig MCR 7.304</t>
        </is>
      </c>
      <c r="D38" s="12" t="inlineStr">
        <is>
          <t>MCR</t>
        </is>
      </c>
      <c r="E38" s="12" t="inlineStr">
        <is>
          <t>Michigan</t>
        </is>
      </c>
      <c r="F38" s="12" t="n">
        <v>2019</v>
      </c>
      <c r="G38" s="12" t="inlineStr">
        <is>
          <t>E</t>
        </is>
      </c>
      <c r="H38" s="10" t="inlineStr">
        <is>
          <t>MSC Super</t>
        </is>
      </c>
      <c r="I38" s="13" t="n">
        <v>90</v>
      </c>
      <c r="J38" s="12" t="inlineStr">
        <is>
          <t>COMPLETE</t>
        </is>
      </c>
      <c r="K38" s="10" t="inlineStr">
        <is>
          <t>MSC original jurisdiction proceedings</t>
        </is>
      </c>
      <c r="L38" s="10" t="inlineStr">
        <is>
          <t>Superintending control procedure</t>
        </is>
      </c>
    </row>
    <row r="39">
      <c r="A39" s="19" t="n">
        <v>35</v>
      </c>
      <c r="B39" s="5" t="inlineStr">
        <is>
          <t>MCR 7.311</t>
        </is>
      </c>
      <c r="C39" s="6" t="inlineStr">
        <is>
          <t>MSC Emerg MCR 7.311</t>
        </is>
      </c>
      <c r="D39" s="7" t="inlineStr">
        <is>
          <t>MCR</t>
        </is>
      </c>
      <c r="E39" s="7" t="inlineStr">
        <is>
          <t>Michigan</t>
        </is>
      </c>
      <c r="F39" s="7" t="n">
        <v>2019</v>
      </c>
      <c r="G39" s="7" t="inlineStr">
        <is>
          <t>E</t>
        </is>
      </c>
      <c r="H39" s="5" t="inlineStr">
        <is>
          <t>MSC Super</t>
        </is>
      </c>
      <c r="I39" s="8" t="n">
        <v>85</v>
      </c>
      <c r="J39" s="7" t="inlineStr">
        <is>
          <t>STRONG</t>
        </is>
      </c>
      <c r="K39" s="5" t="inlineStr">
        <is>
          <t>MSC emergency applications — expedited review</t>
        </is>
      </c>
      <c r="L39" s="5" t="inlineStr">
        <is>
          <t>Emergency relief procedure</t>
        </is>
      </c>
    </row>
    <row r="40">
      <c r="A40" s="18" t="n">
        <v>36</v>
      </c>
      <c r="B40" s="10" t="inlineStr">
        <is>
          <t>MCR 3.303</t>
        </is>
      </c>
      <c r="C40" s="11" t="inlineStr">
        <is>
          <t>Habeas MCR 3.303</t>
        </is>
      </c>
      <c r="D40" s="12" t="inlineStr">
        <is>
          <t>MCR</t>
        </is>
      </c>
      <c r="E40" s="12" t="inlineStr">
        <is>
          <t>Michigan</t>
        </is>
      </c>
      <c r="F40" s="12" t="n">
        <v>2019</v>
      </c>
      <c r="G40" s="12" t="inlineStr">
        <is>
          <t>E</t>
        </is>
      </c>
      <c r="H40" s="10" t="inlineStr">
        <is>
          <t>JTC,MSC Super</t>
        </is>
      </c>
      <c r="I40" s="13" t="n">
        <v>80</v>
      </c>
      <c r="J40" s="12" t="inlineStr">
        <is>
          <t>GAPS</t>
        </is>
      </c>
      <c r="K40" s="10" t="inlineStr">
        <is>
          <t>Habeas corpus — unlawful custody of child</t>
        </is>
      </c>
      <c r="L40" s="10" t="inlineStr">
        <is>
          <t>Emergency child recovery</t>
        </is>
      </c>
    </row>
    <row r="41">
      <c r="A41" s="19" t="n">
        <v>37</v>
      </c>
      <c r="B41" s="5" t="inlineStr">
        <is>
          <t>MCR 2.108</t>
        </is>
      </c>
      <c r="C41" s="6" t="inlineStr">
        <is>
          <t>Service MCR 2.108</t>
        </is>
      </c>
      <c r="D41" s="7" t="inlineStr">
        <is>
          <t>MCR</t>
        </is>
      </c>
      <c r="E41" s="7" t="inlineStr">
        <is>
          <t>Michigan</t>
        </is>
      </c>
      <c r="F41" s="7" t="n">
        <v>2019</v>
      </c>
      <c r="G41" s="7" t="inlineStr">
        <is>
          <t>A,B</t>
        </is>
      </c>
      <c r="H41" s="5" t="inlineStr">
        <is>
          <t>Contempt,Housing</t>
        </is>
      </c>
      <c r="I41" s="8" t="n">
        <v>75</v>
      </c>
      <c r="J41" s="7" t="inlineStr">
        <is>
          <t>COMPLETE</t>
        </is>
      </c>
      <c r="K41" s="5" t="inlineStr">
        <is>
          <t>Service of process and answer timing</t>
        </is>
      </c>
      <c r="L41" s="5" t="inlineStr">
        <is>
          <t>Service compliance</t>
        </is>
      </c>
    </row>
    <row r="42">
      <c r="A42" s="18" t="n">
        <v>38</v>
      </c>
      <c r="B42" s="10" t="inlineStr">
        <is>
          <t>MCR 2.302-2.312</t>
        </is>
      </c>
      <c r="C42" s="11" t="inlineStr">
        <is>
          <t>Discovery MCR 2.302</t>
        </is>
      </c>
      <c r="D42" s="12" t="inlineStr">
        <is>
          <t>MCR</t>
        </is>
      </c>
      <c r="E42" s="12" t="inlineStr">
        <is>
          <t>Michigan</t>
        </is>
      </c>
      <c r="F42" s="12" t="n">
        <v>2019</v>
      </c>
      <c r="G42" s="12" t="inlineStr">
        <is>
          <t>A,B</t>
        </is>
      </c>
      <c r="H42" s="10" t="inlineStr">
        <is>
          <t>Contempt,Housing</t>
        </is>
      </c>
      <c r="I42" s="13" t="n">
        <v>80</v>
      </c>
      <c r="J42" s="12" t="inlineStr">
        <is>
          <t>STRONG</t>
        </is>
      </c>
      <c r="K42" s="10" t="inlineStr">
        <is>
          <t>Discovery scope, methods, and limitations</t>
        </is>
      </c>
      <c r="L42" s="10" t="inlineStr">
        <is>
          <t>Discovery enforcement basis</t>
        </is>
      </c>
    </row>
    <row r="43">
      <c r="A43" s="19" t="n">
        <v>39</v>
      </c>
      <c r="B43" s="5" t="inlineStr">
        <is>
          <t>MCR 2.401</t>
        </is>
      </c>
      <c r="C43" s="6" t="inlineStr">
        <is>
          <t>Pretrial MCR 2.401</t>
        </is>
      </c>
      <c r="D43" s="7" t="inlineStr">
        <is>
          <t>MCR</t>
        </is>
      </c>
      <c r="E43" s="7" t="inlineStr">
        <is>
          <t>Michigan</t>
        </is>
      </c>
      <c r="F43" s="7" t="n">
        <v>2019</v>
      </c>
      <c r="G43" s="7" t="inlineStr">
        <is>
          <t>A,B</t>
        </is>
      </c>
      <c r="H43" s="5" t="inlineStr">
        <is>
          <t>Contempt,Housing</t>
        </is>
      </c>
      <c r="I43" s="8" t="n">
        <v>70</v>
      </c>
      <c r="J43" s="7" t="inlineStr">
        <is>
          <t>GAPS</t>
        </is>
      </c>
      <c r="K43" s="5" t="inlineStr">
        <is>
          <t>Pretrial conference requirements and scheduling</t>
        </is>
      </c>
      <c r="L43" s="5" t="inlineStr">
        <is>
          <t>Case management compliance</t>
        </is>
      </c>
    </row>
    <row r="44">
      <c r="A44" s="18" t="n">
        <v>40</v>
      </c>
      <c r="B44" s="10" t="inlineStr">
        <is>
          <t>MCR 3.707</t>
        </is>
      </c>
      <c r="C44" s="11" t="inlineStr">
        <is>
          <t>PPO Mod MCR 3.707</t>
        </is>
      </c>
      <c r="D44" s="12" t="inlineStr">
        <is>
          <t>MCR</t>
        </is>
      </c>
      <c r="E44" s="12" t="inlineStr">
        <is>
          <t>Michigan</t>
        </is>
      </c>
      <c r="F44" s="12" t="n">
        <v>2019</v>
      </c>
      <c r="G44" s="12" t="inlineStr">
        <is>
          <t>D</t>
        </is>
      </c>
      <c r="H44" s="10" t="inlineStr">
        <is>
          <t>Emergency PT</t>
        </is>
      </c>
      <c r="I44" s="13" t="n">
        <v>80</v>
      </c>
      <c r="J44" s="12" t="inlineStr">
        <is>
          <t>COMPLETE</t>
        </is>
      </c>
      <c r="K44" s="10" t="inlineStr">
        <is>
          <t>PPO modification and termination procedure</t>
        </is>
      </c>
      <c r="L44" s="10" t="inlineStr">
        <is>
          <t>PPO challenge procedure</t>
        </is>
      </c>
    </row>
    <row r="45">
      <c r="A45" s="14" t="n">
        <v>41</v>
      </c>
      <c r="B45" s="5" t="inlineStr">
        <is>
          <t>42 USC §1983</t>
        </is>
      </c>
      <c r="C45" s="6" t="inlineStr">
        <is>
          <t>§1983</t>
        </is>
      </c>
      <c r="D45" s="7" t="inlineStr">
        <is>
          <t>FED_STAT</t>
        </is>
      </c>
      <c r="E45" s="7" t="inlineStr">
        <is>
          <t>Federal</t>
        </is>
      </c>
      <c r="F45" s="7" t="n">
        <v>1871</v>
      </c>
      <c r="G45" s="7" t="inlineStr">
        <is>
          <t>E</t>
        </is>
      </c>
      <c r="H45" s="5" t="inlineStr">
        <is>
          <t>Federal,JTC</t>
        </is>
      </c>
      <c r="I45" s="8" t="n">
        <v>95</v>
      </c>
      <c r="J45" s="7" t="inlineStr">
        <is>
          <t>COMPLETE</t>
        </is>
      </c>
      <c r="K45" s="5" t="inlineStr">
        <is>
          <t>Civil rights action against state actors</t>
        </is>
      </c>
      <c r="L45" s="5" t="inlineStr">
        <is>
          <t>Primary vehicle for misconduct claims</t>
        </is>
      </c>
    </row>
    <row r="46">
      <c r="A46" s="15" t="n">
        <v>42</v>
      </c>
      <c r="B46" s="10" t="inlineStr">
        <is>
          <t>42 USC §1985</t>
        </is>
      </c>
      <c r="C46" s="11" t="inlineStr">
        <is>
          <t>§1985 Conspiracy</t>
        </is>
      </c>
      <c r="D46" s="12" t="inlineStr">
        <is>
          <t>FED_STAT</t>
        </is>
      </c>
      <c r="E46" s="12" t="inlineStr">
        <is>
          <t>Federal</t>
        </is>
      </c>
      <c r="F46" s="12" t="n">
        <v>1871</v>
      </c>
      <c r="G46" s="12" t="inlineStr">
        <is>
          <t>E</t>
        </is>
      </c>
      <c r="H46" s="10" t="inlineStr">
        <is>
          <t>Federal</t>
        </is>
      </c>
      <c r="I46" s="13" t="n">
        <v>80</v>
      </c>
      <c r="J46" s="12" t="inlineStr">
        <is>
          <t>STRONG</t>
        </is>
      </c>
      <c r="K46" s="10" t="inlineStr">
        <is>
          <t>Conspiracy to interfere with civil rights</t>
        </is>
      </c>
      <c r="L46" s="10" t="inlineStr">
        <is>
          <t>Requires class-based animus</t>
        </is>
      </c>
    </row>
    <row r="47">
      <c r="A47" s="14" t="n">
        <v>43</v>
      </c>
      <c r="B47" s="5" t="inlineStr">
        <is>
          <t>42 USC §1988</t>
        </is>
      </c>
      <c r="C47" s="6" t="inlineStr">
        <is>
          <t>§1988 Fees</t>
        </is>
      </c>
      <c r="D47" s="7" t="inlineStr">
        <is>
          <t>FED_STAT</t>
        </is>
      </c>
      <c r="E47" s="7" t="inlineStr">
        <is>
          <t>Federal</t>
        </is>
      </c>
      <c r="F47" s="7" t="n">
        <v>1976</v>
      </c>
      <c r="G47" s="7" t="inlineStr">
        <is>
          <t>E</t>
        </is>
      </c>
      <c r="H47" s="5" t="inlineStr">
        <is>
          <t>Federal</t>
        </is>
      </c>
      <c r="I47" s="8" t="n">
        <v>85</v>
      </c>
      <c r="J47" s="7" t="inlineStr">
        <is>
          <t>COMPLETE</t>
        </is>
      </c>
      <c r="K47" s="5" t="inlineStr">
        <is>
          <t>Attorney fees for prevailing civil rights plaintiff</t>
        </is>
      </c>
      <c r="L47" s="5" t="inlineStr">
        <is>
          <t>Fee-shifting provision</t>
        </is>
      </c>
    </row>
    <row r="48">
      <c r="A48" s="15" t="n">
        <v>44</v>
      </c>
      <c r="B48" s="10" t="inlineStr">
        <is>
          <t>42 USC §3601 et seq</t>
        </is>
      </c>
      <c r="C48" s="11" t="inlineStr">
        <is>
          <t>FHA §3601</t>
        </is>
      </c>
      <c r="D48" s="12" t="inlineStr">
        <is>
          <t>FED_STAT</t>
        </is>
      </c>
      <c r="E48" s="12" t="inlineStr">
        <is>
          <t>Federal</t>
        </is>
      </c>
      <c r="F48" s="12" t="n">
        <v>1968</v>
      </c>
      <c r="G48" s="12" t="inlineStr">
        <is>
          <t>B</t>
        </is>
      </c>
      <c r="H48" s="10" t="inlineStr">
        <is>
          <t>Housing,Federal</t>
        </is>
      </c>
      <c r="I48" s="13" t="n">
        <v>90</v>
      </c>
      <c r="J48" s="12" t="inlineStr">
        <is>
          <t>COMPLETE</t>
        </is>
      </c>
      <c r="K48" s="10" t="inlineStr">
        <is>
          <t>Fair Housing Act — discrimination in housing</t>
        </is>
      </c>
      <c r="L48" s="10" t="inlineStr">
        <is>
          <t>Federal housing claims basis</t>
        </is>
      </c>
    </row>
    <row r="49">
      <c r="A49" s="14" t="n">
        <v>45</v>
      </c>
      <c r="B49" s="5" t="inlineStr">
        <is>
          <t>18 USC §1961-1968</t>
        </is>
      </c>
      <c r="C49" s="6" t="inlineStr">
        <is>
          <t>Fed RICO §1961</t>
        </is>
      </c>
      <c r="D49" s="7" t="inlineStr">
        <is>
          <t>FED_STAT</t>
        </is>
      </c>
      <c r="E49" s="7" t="inlineStr">
        <is>
          <t>Federal</t>
        </is>
      </c>
      <c r="F49" s="7" t="n">
        <v>1970</v>
      </c>
      <c r="G49" s="7" t="inlineStr">
        <is>
          <t>B</t>
        </is>
      </c>
      <c r="H49" s="5" t="inlineStr">
        <is>
          <t>Federal,Tort</t>
        </is>
      </c>
      <c r="I49" s="8" t="n">
        <v>80</v>
      </c>
      <c r="J49" s="7" t="inlineStr">
        <is>
          <t>GAPS</t>
        </is>
      </c>
      <c r="K49" s="5" t="inlineStr">
        <is>
          <t>Federal RICO — pattern of racketeering activity</t>
        </is>
      </c>
      <c r="L49" s="5" t="inlineStr">
        <is>
          <t>Federal parallel to state RICO</t>
        </is>
      </c>
    </row>
    <row r="50">
      <c r="A50" s="15" t="n">
        <v>46</v>
      </c>
      <c r="B50" s="10" t="inlineStr">
        <is>
          <t>28 USC §1331</t>
        </is>
      </c>
      <c r="C50" s="11" t="inlineStr">
        <is>
          <t>Fed Q §1331</t>
        </is>
      </c>
      <c r="D50" s="12" t="inlineStr">
        <is>
          <t>FED_STAT</t>
        </is>
      </c>
      <c r="E50" s="12" t="inlineStr">
        <is>
          <t>Federal</t>
        </is>
      </c>
      <c r="F50" s="12" t="n">
        <v>1875</v>
      </c>
      <c r="G50" s="12" t="inlineStr">
        <is>
          <t>E</t>
        </is>
      </c>
      <c r="H50" s="10" t="inlineStr">
        <is>
          <t>Federal</t>
        </is>
      </c>
      <c r="I50" s="13" t="n">
        <v>75</v>
      </c>
      <c r="J50" s="12" t="inlineStr">
        <is>
          <t>COMPLETE</t>
        </is>
      </c>
      <c r="K50" s="10" t="inlineStr">
        <is>
          <t>Federal question jurisdiction</t>
        </is>
      </c>
      <c r="L50" s="10" t="inlineStr">
        <is>
          <t>Jurisdictional basis for federal claims</t>
        </is>
      </c>
    </row>
    <row r="51">
      <c r="A51" s="14" t="n">
        <v>47</v>
      </c>
      <c r="B51" s="5" t="inlineStr">
        <is>
          <t>28 USC §1367</t>
        </is>
      </c>
      <c r="C51" s="6" t="inlineStr">
        <is>
          <t>Supp Jx §1367</t>
        </is>
      </c>
      <c r="D51" s="7" t="inlineStr">
        <is>
          <t>FED_STAT</t>
        </is>
      </c>
      <c r="E51" s="7" t="inlineStr">
        <is>
          <t>Federal</t>
        </is>
      </c>
      <c r="F51" s="7" t="n">
        <v>1990</v>
      </c>
      <c r="G51" s="7" t="inlineStr">
        <is>
          <t>E</t>
        </is>
      </c>
      <c r="H51" s="5" t="inlineStr">
        <is>
          <t>Federal</t>
        </is>
      </c>
      <c r="I51" s="8" t="n">
        <v>75</v>
      </c>
      <c r="J51" s="7" t="inlineStr">
        <is>
          <t>COMPLETE</t>
        </is>
      </c>
      <c r="K51" s="5" t="inlineStr">
        <is>
          <t>Supplemental jurisdiction over state claims</t>
        </is>
      </c>
      <c r="L51" s="5" t="inlineStr">
        <is>
          <t>Allows state claims in federal court</t>
        </is>
      </c>
    </row>
    <row r="52">
      <c r="A52" s="15" t="n">
        <v>48</v>
      </c>
      <c r="B52" s="10" t="inlineStr">
        <is>
          <t>FRCP Rule 26</t>
        </is>
      </c>
      <c r="C52" s="11" t="inlineStr">
        <is>
          <t>FRCP 26 Disc</t>
        </is>
      </c>
      <c r="D52" s="12" t="inlineStr">
        <is>
          <t>FED_RULE</t>
        </is>
      </c>
      <c r="E52" s="12" t="inlineStr">
        <is>
          <t>Federal</t>
        </is>
      </c>
      <c r="F52" s="12" t="n">
        <v>1938</v>
      </c>
      <c r="G52" s="12" t="inlineStr">
        <is>
          <t>E</t>
        </is>
      </c>
      <c r="H52" s="10" t="inlineStr">
        <is>
          <t>Federal</t>
        </is>
      </c>
      <c r="I52" s="13" t="n">
        <v>70</v>
      </c>
      <c r="J52" s="12" t="inlineStr">
        <is>
          <t>STRONG</t>
        </is>
      </c>
      <c r="K52" s="10" t="inlineStr">
        <is>
          <t>Initial disclosures and discovery scope</t>
        </is>
      </c>
      <c r="L52" s="10" t="inlineStr">
        <is>
          <t>Federal discovery baseline</t>
        </is>
      </c>
    </row>
    <row r="53">
      <c r="A53" s="14" t="n">
        <v>49</v>
      </c>
      <c r="B53" s="5" t="inlineStr">
        <is>
          <t>FRCP Rule 12(b)(6)</t>
        </is>
      </c>
      <c r="C53" s="6" t="inlineStr">
        <is>
          <t>FRCP 12b6</t>
        </is>
      </c>
      <c r="D53" s="7" t="inlineStr">
        <is>
          <t>FED_RULE</t>
        </is>
      </c>
      <c r="E53" s="7" t="inlineStr">
        <is>
          <t>Federal</t>
        </is>
      </c>
      <c r="F53" s="7" t="n">
        <v>1938</v>
      </c>
      <c r="G53" s="7" t="inlineStr">
        <is>
          <t>E</t>
        </is>
      </c>
      <c r="H53" s="5" t="inlineStr">
        <is>
          <t>Federal</t>
        </is>
      </c>
      <c r="I53" s="8" t="n">
        <v>75</v>
      </c>
      <c r="J53" s="7" t="inlineStr">
        <is>
          <t>STRONG</t>
        </is>
      </c>
      <c r="K53" s="5" t="inlineStr">
        <is>
          <t>Motion to dismiss for failure to state a claim</t>
        </is>
      </c>
      <c r="L53" s="5" t="inlineStr">
        <is>
          <t>Pleading sufficiency standard</t>
        </is>
      </c>
    </row>
    <row r="54">
      <c r="A54" s="15" t="n">
        <v>50</v>
      </c>
      <c r="B54" s="10" t="inlineStr">
        <is>
          <t>14th Amendment</t>
        </is>
      </c>
      <c r="C54" s="11" t="inlineStr">
        <is>
          <t>14th Amend DP/EP</t>
        </is>
      </c>
      <c r="D54" s="12" t="inlineStr">
        <is>
          <t>CONST</t>
        </is>
      </c>
      <c r="E54" s="12" t="inlineStr">
        <is>
          <t>Federal</t>
        </is>
      </c>
      <c r="F54" s="12" t="n">
        <v>1868</v>
      </c>
      <c r="G54" s="12" t="inlineStr">
        <is>
          <t>E</t>
        </is>
      </c>
      <c r="H54" s="10" t="inlineStr">
        <is>
          <t>JTC,MSC Super,Federal,Disqual</t>
        </is>
      </c>
      <c r="I54" s="13" t="n">
        <v>95</v>
      </c>
      <c r="J54" s="12" t="inlineStr">
        <is>
          <t>COMPLETE</t>
        </is>
      </c>
      <c r="K54" s="10" t="inlineStr">
        <is>
          <t>Due Process and Equal Protection Clauses</t>
        </is>
      </c>
      <c r="L54" s="10" t="inlineStr">
        <is>
          <t>Constitutional foundation for all DP/EP claims</t>
        </is>
      </c>
    </row>
    <row r="55">
      <c r="A55" s="14" t="n">
        <v>51</v>
      </c>
      <c r="B55" s="5" t="inlineStr">
        <is>
          <t>Cummings v. Beeler &amp; Pace (In re AMB), 248 Mich App 220 (2001)</t>
        </is>
      </c>
      <c r="C55" s="6" t="inlineStr">
        <is>
          <t>Cummings/AMB</t>
        </is>
      </c>
      <c r="D55" s="7" t="inlineStr">
        <is>
          <t>MI_COA</t>
        </is>
      </c>
      <c r="E55" s="7" t="inlineStr">
        <is>
          <t>Michigan</t>
        </is>
      </c>
      <c r="F55" s="7" t="n">
        <v>2001</v>
      </c>
      <c r="G55" s="7" t="inlineStr">
        <is>
          <t>A</t>
        </is>
      </c>
      <c r="H55" s="5" t="inlineStr">
        <is>
          <t>Contempt,COA Brief</t>
        </is>
      </c>
      <c r="I55" s="8" t="n">
        <v>80</v>
      </c>
      <c r="J55" s="7" t="inlineStr">
        <is>
          <t>STRONG</t>
        </is>
      </c>
      <c r="K55" s="5" t="inlineStr">
        <is>
          <t>Appellate review of custody modification standard</t>
        </is>
      </c>
      <c r="L55" s="5" t="inlineStr">
        <is>
          <t>COA standard of review</t>
        </is>
      </c>
    </row>
    <row r="56">
      <c r="A56" s="15" t="n">
        <v>52</v>
      </c>
      <c r="B56" s="10" t="inlineStr">
        <is>
          <t>Harvey v. Harvey, 470 Mich 186 (2004)</t>
        </is>
      </c>
      <c r="C56" s="11" t="inlineStr">
        <is>
          <t>Harvey</t>
        </is>
      </c>
      <c r="D56" s="12" t="inlineStr">
        <is>
          <t>MI_SC</t>
        </is>
      </c>
      <c r="E56" s="12" t="inlineStr">
        <is>
          <t>Michigan</t>
        </is>
      </c>
      <c r="F56" s="12" t="n">
        <v>2004</v>
      </c>
      <c r="G56" s="12" t="inlineStr">
        <is>
          <t>A</t>
        </is>
      </c>
      <c r="H56" s="10" t="inlineStr">
        <is>
          <t>Contempt,COA Brief,Emergency PT</t>
        </is>
      </c>
      <c r="I56" s="13" t="n">
        <v>85</v>
      </c>
      <c r="J56" s="12" t="inlineStr">
        <is>
          <t>COMPLETE</t>
        </is>
      </c>
      <c r="K56" s="10" t="inlineStr">
        <is>
          <t>Great weight deference to trial court on credibility</t>
        </is>
      </c>
      <c r="L56" s="10" t="inlineStr">
        <is>
          <t>Deference standard</t>
        </is>
      </c>
    </row>
    <row r="57">
      <c r="A57" s="14" t="n">
        <v>53</v>
      </c>
      <c r="B57" s="5" t="inlineStr">
        <is>
          <t>Grew v. Knox, 265 Mich App 333 (2005)</t>
        </is>
      </c>
      <c r="C57" s="6" t="inlineStr">
        <is>
          <t>Grew</t>
        </is>
      </c>
      <c r="D57" s="7" t="inlineStr">
        <is>
          <t>MI_COA</t>
        </is>
      </c>
      <c r="E57" s="7" t="inlineStr">
        <is>
          <t>Michigan</t>
        </is>
      </c>
      <c r="F57" s="7" t="n">
        <v>2005</v>
      </c>
      <c r="G57" s="7" t="inlineStr">
        <is>
          <t>D</t>
        </is>
      </c>
      <c r="H57" s="5" t="inlineStr">
        <is>
          <t>Emergency PT</t>
        </is>
      </c>
      <c r="I57" s="8" t="n">
        <v>75</v>
      </c>
      <c r="J57" s="7" t="inlineStr">
        <is>
          <t>STRONG</t>
        </is>
      </c>
      <c r="K57" s="5" t="inlineStr">
        <is>
          <t>PPO must be based on reasonable fear standard</t>
        </is>
      </c>
      <c r="L57" s="5" t="inlineStr">
        <is>
          <t>PPO evidentiary threshold</t>
        </is>
      </c>
    </row>
    <row r="58">
      <c r="A58" s="15" t="n">
        <v>54</v>
      </c>
      <c r="B58" s="10" t="inlineStr">
        <is>
          <t>Hayford v. Hayford, 279 Mich App 324 (2008)</t>
        </is>
      </c>
      <c r="C58" s="11" t="inlineStr">
        <is>
          <t>Hayford</t>
        </is>
      </c>
      <c r="D58" s="12" t="inlineStr">
        <is>
          <t>MI_COA</t>
        </is>
      </c>
      <c r="E58" s="12" t="inlineStr">
        <is>
          <t>Michigan</t>
        </is>
      </c>
      <c r="F58" s="12" t="n">
        <v>2008</v>
      </c>
      <c r="G58" s="12" t="inlineStr">
        <is>
          <t>A</t>
        </is>
      </c>
      <c r="H58" s="10" t="inlineStr">
        <is>
          <t>COA Brief</t>
        </is>
      </c>
      <c r="I58" s="13" t="n">
        <v>80</v>
      </c>
      <c r="J58" s="12" t="inlineStr">
        <is>
          <t>COMPLETE</t>
        </is>
      </c>
      <c r="K58" s="10" t="inlineStr">
        <is>
          <t>Change of domicile requires statutory analysis</t>
        </is>
      </c>
      <c r="L58" s="10" t="inlineStr">
        <is>
          <t>Domicile/relocation authority</t>
        </is>
      </c>
    </row>
    <row r="59">
      <c r="A59" s="14" t="n">
        <v>55</v>
      </c>
      <c r="B59" s="5" t="inlineStr">
        <is>
          <t>Mitchell v. Mitchell, 296 Mich App 513 (2012)</t>
        </is>
      </c>
      <c r="C59" s="6" t="inlineStr">
        <is>
          <t>Mitchell</t>
        </is>
      </c>
      <c r="D59" s="7" t="inlineStr">
        <is>
          <t>MI_COA</t>
        </is>
      </c>
      <c r="E59" s="7" t="inlineStr">
        <is>
          <t>Michigan</t>
        </is>
      </c>
      <c r="F59" s="7" t="n">
        <v>2012</v>
      </c>
      <c r="G59" s="7" t="inlineStr">
        <is>
          <t>A</t>
        </is>
      </c>
      <c r="H59" s="5" t="inlineStr">
        <is>
          <t>COA Brief,Contempt</t>
        </is>
      </c>
      <c r="I59" s="8" t="n">
        <v>80</v>
      </c>
      <c r="J59" s="7" t="inlineStr">
        <is>
          <t>STRONG</t>
        </is>
      </c>
      <c r="K59" s="5" t="inlineStr">
        <is>
          <t>Contempt requires willful disobedience of clear order</t>
        </is>
      </c>
      <c r="L59" s="5" t="inlineStr">
        <is>
          <t>Contempt standard</t>
        </is>
      </c>
    </row>
    <row r="60">
      <c r="A60" s="15" t="n">
        <v>56</v>
      </c>
      <c r="B60" s="10" t="inlineStr">
        <is>
          <t>Berger v. Berger, 277 Mich App 700 (2008)</t>
        </is>
      </c>
      <c r="C60" s="11" t="inlineStr">
        <is>
          <t>Berger</t>
        </is>
      </c>
      <c r="D60" s="12" t="inlineStr">
        <is>
          <t>MI_COA</t>
        </is>
      </c>
      <c r="E60" s="12" t="inlineStr">
        <is>
          <t>Michigan</t>
        </is>
      </c>
      <c r="F60" s="12" t="n">
        <v>2008</v>
      </c>
      <c r="G60" s="12" t="inlineStr">
        <is>
          <t>A</t>
        </is>
      </c>
      <c r="H60" s="10" t="inlineStr">
        <is>
          <t>Emergency PT,COA Brief</t>
        </is>
      </c>
      <c r="I60" s="13" t="n">
        <v>75</v>
      </c>
      <c r="J60" s="12" t="inlineStr">
        <is>
          <t>STRONG</t>
        </is>
      </c>
      <c r="K60" s="10" t="inlineStr">
        <is>
          <t>Established custodial environment analysis</t>
        </is>
      </c>
      <c r="L60" s="10" t="inlineStr">
        <is>
          <t>ECE determination authority</t>
        </is>
      </c>
    </row>
    <row r="61">
      <c r="A61" s="4" t="n">
        <v>57</v>
      </c>
      <c r="B61" s="5" t="inlineStr">
        <is>
          <t>Platek v. Amen (6th Cir.), 40 F.4th 453 (2022)</t>
        </is>
      </c>
      <c r="C61" s="6" t="inlineStr">
        <is>
          <t>Platek</t>
        </is>
      </c>
      <c r="D61" s="7" t="inlineStr">
        <is>
          <t>6TH_CIR</t>
        </is>
      </c>
      <c r="E61" s="7" t="inlineStr">
        <is>
          <t>Federal</t>
        </is>
      </c>
      <c r="F61" s="7" t="n">
        <v>2022</v>
      </c>
      <c r="G61" s="7" t="inlineStr">
        <is>
          <t>E</t>
        </is>
      </c>
      <c r="H61" s="5" t="inlineStr">
        <is>
          <t>Federal</t>
        </is>
      </c>
      <c r="I61" s="8" t="n">
        <v>80</v>
      </c>
      <c r="J61" s="7" t="inlineStr">
        <is>
          <t>COMPLETE</t>
        </is>
      </c>
      <c r="K61" s="5" t="inlineStr">
        <is>
          <t>§1983 judicial immunity limitations</t>
        </is>
      </c>
      <c r="L61" s="5" t="inlineStr">
        <is>
          <t>Judicial immunity boundaries</t>
        </is>
      </c>
    </row>
    <row r="62">
      <c r="A62" s="9" t="n">
        <v>58</v>
      </c>
      <c r="B62" s="10" t="inlineStr">
        <is>
          <t>Cady v. Arenac County (6th Cir.), 574 F.3d 334 (2009)</t>
        </is>
      </c>
      <c r="C62" s="11" t="inlineStr">
        <is>
          <t>Cady</t>
        </is>
      </c>
      <c r="D62" s="12" t="inlineStr">
        <is>
          <t>6TH_CIR</t>
        </is>
      </c>
      <c r="E62" s="12" t="inlineStr">
        <is>
          <t>Federal</t>
        </is>
      </c>
      <c r="F62" s="12" t="n">
        <v>2009</v>
      </c>
      <c r="G62" s="12" t="inlineStr">
        <is>
          <t>E</t>
        </is>
      </c>
      <c r="H62" s="10" t="inlineStr">
        <is>
          <t>Federal</t>
        </is>
      </c>
      <c r="I62" s="13" t="n">
        <v>75</v>
      </c>
      <c r="J62" s="12" t="inlineStr">
        <is>
          <t>STRONG</t>
        </is>
      </c>
      <c r="K62" s="10" t="inlineStr">
        <is>
          <t>Due process in child welfare proceedings</t>
        </is>
      </c>
      <c r="L62" s="10" t="inlineStr">
        <is>
          <t>6th Cir DP standard</t>
        </is>
      </c>
    </row>
    <row r="63">
      <c r="A63" s="4" t="n">
        <v>59</v>
      </c>
      <c r="B63" s="5" t="inlineStr">
        <is>
          <t>Bartalone v. Berrien County (6th Cir.), 643 F.3d 575 (2011)</t>
        </is>
      </c>
      <c r="C63" s="6" t="inlineStr">
        <is>
          <t>Bartalone</t>
        </is>
      </c>
      <c r="D63" s="7" t="inlineStr">
        <is>
          <t>6TH_CIR</t>
        </is>
      </c>
      <c r="E63" s="7" t="inlineStr">
        <is>
          <t>Federal</t>
        </is>
      </c>
      <c r="F63" s="7" t="n">
        <v>2011</v>
      </c>
      <c r="G63" s="7" t="inlineStr">
        <is>
          <t>E</t>
        </is>
      </c>
      <c r="H63" s="5" t="inlineStr">
        <is>
          <t>Federal</t>
        </is>
      </c>
      <c r="I63" s="8" t="n">
        <v>75</v>
      </c>
      <c r="J63" s="7" t="inlineStr">
        <is>
          <t>STRONG</t>
        </is>
      </c>
      <c r="K63" s="5" t="inlineStr">
        <is>
          <t>Domestic relations exception to federal jurisdiction</t>
        </is>
      </c>
      <c r="L63" s="5" t="inlineStr">
        <is>
          <t>Jurisdictional limitation</t>
        </is>
      </c>
    </row>
    <row r="64">
      <c r="A64" s="9" t="n">
        <v>60</v>
      </c>
      <c r="B64" s="10" t="inlineStr">
        <is>
          <t>Widgren v. Maple Grove Twp., 429 F.3d 575 (6th Cir. 2005)</t>
        </is>
      </c>
      <c r="C64" s="11" t="inlineStr">
        <is>
          <t>Widgren</t>
        </is>
      </c>
      <c r="D64" s="12" t="inlineStr">
        <is>
          <t>6TH_CIR</t>
        </is>
      </c>
      <c r="E64" s="12" t="inlineStr">
        <is>
          <t>Federal</t>
        </is>
      </c>
      <c r="F64" s="12" t="n">
        <v>2005</v>
      </c>
      <c r="G64" s="12" t="inlineStr">
        <is>
          <t>B</t>
        </is>
      </c>
      <c r="H64" s="10" t="inlineStr">
        <is>
          <t>Housing,Federal</t>
        </is>
      </c>
      <c r="I64" s="13" t="n">
        <v>80</v>
      </c>
      <c r="J64" s="12" t="inlineStr">
        <is>
          <t>COMPLETE</t>
        </is>
      </c>
      <c r="K64" s="10" t="inlineStr">
        <is>
          <t>Fair housing zoning discrimination analysis</t>
        </is>
      </c>
      <c r="L64" s="10" t="inlineStr">
        <is>
          <t>FHA enforcement standard</t>
        </is>
      </c>
    </row>
    <row r="66">
      <c r="A66" s="20" t="inlineStr">
        <is>
          <t>TOTALS</t>
        </is>
      </c>
      <c r="H66" s="21" t="inlineStr">
        <is>
          <t>Count:</t>
        </is>
      </c>
      <c r="I66" s="22">
        <f>COUNTA(I5:I64)</f>
        <v/>
      </c>
    </row>
    <row r="67">
      <c r="H67" s="21" t="inlineStr">
        <is>
          <t>Average Weight:</t>
        </is>
      </c>
      <c r="I67" s="23">
        <f>AVERAGE(I5:I64)</f>
        <v/>
      </c>
    </row>
    <row r="68">
      <c r="H68" s="21" t="inlineStr">
        <is>
          <t>COMPLETE chains:</t>
        </is>
      </c>
      <c r="I68" s="22">
        <f>COUNTIF(J5:J64,"COMPLETE")</f>
        <v/>
      </c>
    </row>
    <row r="69">
      <c r="H69" s="21" t="inlineStr">
        <is>
          <t>GAPS chains:</t>
        </is>
      </c>
      <c r="I69" s="22">
        <f>COUNTIF(J5:J64,"GAPS")</f>
        <v/>
      </c>
    </row>
  </sheetData>
  <autoFilter ref="A4:L64"/>
  <mergeCells count="2">
    <mergeCell ref="A2:L2"/>
    <mergeCell ref="A1:L1"/>
  </mergeCells>
  <conditionalFormatting sqref="I5:I64">
    <cfRule type="cellIs" priority="1" operator="greaterThanOrEqual" dxfId="0">
      <formula>90</formula>
    </cfRule>
    <cfRule type="cellIs" priority="2" operator="between" dxfId="1">
      <formula>75</formula>
      <formula>89</formula>
    </cfRule>
    <cfRule type="cellIs" priority="3" operator="between" dxfId="2">
      <formula>60</formula>
      <formula>74</formula>
    </cfRule>
    <cfRule type="cellIs" priority="4" operator="lessThan" dxfId="3">
      <formula>60</formula>
    </cfRule>
  </conditionalFormatting>
  <dataValidations count="2">
    <dataValidation sqref="D5 D6 D7 D8 D9 D10 D11 D12 D13 D14 D15 D16 D17 D18 D19 D20 D21 D22 D23 D24 D25 D26 D27 D28 D29 D30 D31 D32 D33 D34 D35 D36 D37 D38 D39 D40 D41 D42 D43 D44 D45 D46 D47 D48 D49 D50 D51 D52 D53 D54 D55 D56 D57 D58 D59 D60 D61 D62 D63 D64" showDropDown="0" showInputMessage="0" showErrorMessage="0" allowBlank="1" errorTitle="Invalid Type" error="Select a valid authority type" type="list">
      <formula1>"SCOTUS,MI_SC,MI_COA,6TH_CIR,FED_DIST,MCR,MCL,MRE,REGULATION,SECONDARY,FED_STAT,FED_RULE,CONST"</formula1>
    </dataValidation>
    <dataValidation sqref="J5 J6 J7 J8 J9 J10 J11 J12 J13 J14 J15 J16 J17 J18 J19 J20 J21 J22 J23 J24 J25 J26 J27 J28 J29 J30 J31 J32 J33 J34 J35 J36 J37 J38 J39 J40 J41 J42 J43 J44 J45 J46 J47 J48 J49 J50 J51 J52 J53 J54 J55 J56 J57 J58 J59 J60 J61 J62 J63 J64" showDropDown="0" showInputMessage="0" showErrorMessage="0" allowBlank="1" type="list">
      <formula1>"COMPLETE,STRONG,GAPS,MISSING"</formula1>
    </dataValidation>
  </dataValidation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H65"/>
  <sheetViews>
    <sheetView workbookViewId="0">
      <pane ySplit="3" topLeftCell="A4" activePane="bottomLeft" state="frozen"/>
      <selection pane="bottomLeft" activeCell="A1" sqref="A1"/>
    </sheetView>
  </sheetViews>
  <sheetFormatPr baseColWidth="8" defaultRowHeight="15"/>
  <cols>
    <col width="8" customWidth="1" min="1" max="1"/>
    <col width="22" customWidth="1" min="2" max="2"/>
    <col width="20" customWidth="1" min="3" max="3"/>
    <col width="20" customWidth="1" min="4" max="4"/>
    <col width="20" customWidth="1" min="5" max="5"/>
    <col width="20" customWidth="1" min="6" max="6"/>
    <col width="20" customWidth="1" min="7" max="7"/>
    <col width="20" customWidth="1" min="8" max="8"/>
  </cols>
  <sheetData>
    <row r="1">
      <c r="A1" s="24" t="inlineStr">
        <is>
          <t>Authority × Lane Assignment Matrix</t>
        </is>
      </c>
    </row>
    <row r="3">
      <c r="A3" s="3" t="inlineStr">
        <is>
          <t>ID</t>
        </is>
      </c>
      <c r="B3" s="3" t="inlineStr">
        <is>
          <t>Short Name</t>
        </is>
      </c>
      <c r="C3" s="3" t="inlineStr">
        <is>
          <t>Lane A
(Custody (Watson))</t>
        </is>
      </c>
      <c r="D3" s="3" t="inlineStr">
        <is>
          <t>Lane B
(Housing (Shady Oaks))</t>
        </is>
      </c>
      <c r="E3" s="3" t="inlineStr">
        <is>
          <t>Lane C
(Convergence)</t>
        </is>
      </c>
      <c r="F3" s="3" t="inlineStr">
        <is>
          <t>Lane D
(PPO)</t>
        </is>
      </c>
      <c r="G3" s="3" t="inlineStr">
        <is>
          <t>Lane E
(Judicial Misconduct)</t>
        </is>
      </c>
      <c r="H3" s="3" t="inlineStr">
        <is>
          <t>Lane F
(Appellate)</t>
        </is>
      </c>
    </row>
    <row r="4">
      <c r="A4" s="25">
        <f>'Authority Index'!A5</f>
        <v/>
      </c>
      <c r="B4" s="26">
        <f>'Authority Index'!C5</f>
        <v/>
      </c>
      <c r="C4" s="27" t="inlineStr">
        <is>
          <t>X</t>
        </is>
      </c>
      <c r="D4" s="15" t="inlineStr"/>
      <c r="E4" s="15" t="inlineStr"/>
      <c r="F4" s="15" t="inlineStr"/>
      <c r="G4" s="27" t="inlineStr">
        <is>
          <t>X</t>
        </is>
      </c>
      <c r="H4" s="15" t="inlineStr"/>
    </row>
    <row r="5">
      <c r="A5" s="28">
        <f>'Authority Index'!A6</f>
        <v/>
      </c>
      <c r="B5" s="29">
        <f>'Authority Index'!C6</f>
        <v/>
      </c>
      <c r="C5" s="14" t="inlineStr"/>
      <c r="D5" s="14" t="inlineStr"/>
      <c r="E5" s="14" t="inlineStr"/>
      <c r="F5" s="14" t="inlineStr"/>
      <c r="G5" s="30" t="inlineStr">
        <is>
          <t>X</t>
        </is>
      </c>
      <c r="H5" s="14" t="inlineStr"/>
    </row>
    <row r="6">
      <c r="A6" s="25">
        <f>'Authority Index'!A7</f>
        <v/>
      </c>
      <c r="B6" s="26">
        <f>'Authority Index'!C7</f>
        <v/>
      </c>
      <c r="C6" s="15" t="inlineStr"/>
      <c r="D6" s="15" t="inlineStr"/>
      <c r="E6" s="15" t="inlineStr"/>
      <c r="F6" s="15" t="inlineStr"/>
      <c r="G6" s="27" t="inlineStr">
        <is>
          <t>X</t>
        </is>
      </c>
      <c r="H6" s="15" t="inlineStr"/>
    </row>
    <row r="7">
      <c r="A7" s="28">
        <f>'Authority Index'!A8</f>
        <v/>
      </c>
      <c r="B7" s="29">
        <f>'Authority Index'!C8</f>
        <v/>
      </c>
      <c r="C7" s="30" t="inlineStr">
        <is>
          <t>X</t>
        </is>
      </c>
      <c r="D7" s="14" t="inlineStr"/>
      <c r="E7" s="14" t="inlineStr"/>
      <c r="F7" s="14" t="inlineStr"/>
      <c r="G7" s="14" t="inlineStr"/>
      <c r="H7" s="14" t="inlineStr"/>
    </row>
    <row r="8">
      <c r="A8" s="25">
        <f>'Authority Index'!A9</f>
        <v/>
      </c>
      <c r="B8" s="26">
        <f>'Authority Index'!C9</f>
        <v/>
      </c>
      <c r="C8" s="27" t="inlineStr">
        <is>
          <t>X</t>
        </is>
      </c>
      <c r="D8" s="15" t="inlineStr"/>
      <c r="E8" s="15" t="inlineStr"/>
      <c r="F8" s="15" t="inlineStr"/>
      <c r="G8" s="15" t="inlineStr"/>
      <c r="H8" s="15" t="inlineStr"/>
    </row>
    <row r="9">
      <c r="A9" s="28">
        <f>'Authority Index'!A10</f>
        <v/>
      </c>
      <c r="B9" s="29">
        <f>'Authority Index'!C10</f>
        <v/>
      </c>
      <c r="C9" s="30" t="inlineStr">
        <is>
          <t>X</t>
        </is>
      </c>
      <c r="D9" s="14" t="inlineStr"/>
      <c r="E9" s="14" t="inlineStr"/>
      <c r="F9" s="14" t="inlineStr"/>
      <c r="G9" s="30" t="inlineStr">
        <is>
          <t>X</t>
        </is>
      </c>
      <c r="H9" s="14" t="inlineStr"/>
    </row>
    <row r="10">
      <c r="A10" s="25">
        <f>'Authority Index'!A11</f>
        <v/>
      </c>
      <c r="B10" s="26">
        <f>'Authority Index'!C11</f>
        <v/>
      </c>
      <c r="C10" s="27" t="inlineStr">
        <is>
          <t>X</t>
        </is>
      </c>
      <c r="D10" s="15" t="inlineStr"/>
      <c r="E10" s="15" t="inlineStr"/>
      <c r="F10" s="15" t="inlineStr"/>
      <c r="G10" s="27" t="inlineStr">
        <is>
          <t>X</t>
        </is>
      </c>
      <c r="H10" s="15" t="inlineStr"/>
    </row>
    <row r="11">
      <c r="A11" s="28">
        <f>'Authority Index'!A12</f>
        <v/>
      </c>
      <c r="B11" s="29">
        <f>'Authority Index'!C12</f>
        <v/>
      </c>
      <c r="C11" s="14" t="inlineStr"/>
      <c r="D11" s="14" t="inlineStr"/>
      <c r="E11" s="14" t="inlineStr"/>
      <c r="F11" s="14" t="inlineStr"/>
      <c r="G11" s="30" t="inlineStr">
        <is>
          <t>X</t>
        </is>
      </c>
      <c r="H11" s="14" t="inlineStr"/>
    </row>
    <row r="12">
      <c r="A12" s="25">
        <f>'Authority Index'!A13</f>
        <v/>
      </c>
      <c r="B12" s="26">
        <f>'Authority Index'!C13</f>
        <v/>
      </c>
      <c r="C12" s="15" t="inlineStr"/>
      <c r="D12" s="15" t="inlineStr"/>
      <c r="E12" s="15" t="inlineStr"/>
      <c r="F12" s="15" t="inlineStr"/>
      <c r="G12" s="27" t="inlineStr">
        <is>
          <t>X</t>
        </is>
      </c>
      <c r="H12" s="15" t="inlineStr"/>
    </row>
    <row r="13">
      <c r="A13" s="28">
        <f>'Authority Index'!A14</f>
        <v/>
      </c>
      <c r="B13" s="29">
        <f>'Authority Index'!C14</f>
        <v/>
      </c>
      <c r="C13" s="14" t="inlineStr"/>
      <c r="D13" s="14" t="inlineStr"/>
      <c r="E13" s="14" t="inlineStr"/>
      <c r="F13" s="14" t="inlineStr"/>
      <c r="G13" s="30" t="inlineStr">
        <is>
          <t>X</t>
        </is>
      </c>
      <c r="H13" s="14" t="inlineStr"/>
    </row>
    <row r="14">
      <c r="A14" s="25">
        <f>'Authority Index'!A15</f>
        <v/>
      </c>
      <c r="B14" s="26">
        <f>'Authority Index'!C15</f>
        <v/>
      </c>
      <c r="C14" s="27" t="inlineStr">
        <is>
          <t>X</t>
        </is>
      </c>
      <c r="D14" s="15" t="inlineStr"/>
      <c r="E14" s="15" t="inlineStr"/>
      <c r="F14" s="15" t="inlineStr"/>
      <c r="G14" s="15" t="inlineStr"/>
      <c r="H14" s="15" t="inlineStr"/>
    </row>
    <row r="15">
      <c r="A15" s="28">
        <f>'Authority Index'!A16</f>
        <v/>
      </c>
      <c r="B15" s="29">
        <f>'Authority Index'!C16</f>
        <v/>
      </c>
      <c r="C15" s="30" t="inlineStr">
        <is>
          <t>X</t>
        </is>
      </c>
      <c r="D15" s="14" t="inlineStr"/>
      <c r="E15" s="14" t="inlineStr"/>
      <c r="F15" s="14" t="inlineStr"/>
      <c r="G15" s="14" t="inlineStr"/>
      <c r="H15" s="14" t="inlineStr"/>
    </row>
    <row r="16">
      <c r="A16" s="25">
        <f>'Authority Index'!A17</f>
        <v/>
      </c>
      <c r="B16" s="26">
        <f>'Authority Index'!C17</f>
        <v/>
      </c>
      <c r="C16" s="27" t="inlineStr">
        <is>
          <t>X</t>
        </is>
      </c>
      <c r="D16" s="15" t="inlineStr"/>
      <c r="E16" s="15" t="inlineStr"/>
      <c r="F16" s="15" t="inlineStr"/>
      <c r="G16" s="15" t="inlineStr"/>
      <c r="H16" s="15" t="inlineStr"/>
    </row>
    <row r="17">
      <c r="A17" s="28">
        <f>'Authority Index'!A18</f>
        <v/>
      </c>
      <c r="B17" s="29">
        <f>'Authority Index'!C18</f>
        <v/>
      </c>
      <c r="C17" s="30" t="inlineStr">
        <is>
          <t>X</t>
        </is>
      </c>
      <c r="D17" s="14" t="inlineStr"/>
      <c r="E17" s="14" t="inlineStr"/>
      <c r="F17" s="14" t="inlineStr"/>
      <c r="G17" s="14" t="inlineStr"/>
      <c r="H17" s="14" t="inlineStr"/>
    </row>
    <row r="18">
      <c r="A18" s="25">
        <f>'Authority Index'!A19</f>
        <v/>
      </c>
      <c r="B18" s="26">
        <f>'Authority Index'!C19</f>
        <v/>
      </c>
      <c r="C18" s="27" t="inlineStr">
        <is>
          <t>X</t>
        </is>
      </c>
      <c r="D18" s="15" t="inlineStr"/>
      <c r="E18" s="15" t="inlineStr"/>
      <c r="F18" s="15" t="inlineStr"/>
      <c r="G18" s="15" t="inlineStr"/>
      <c r="H18" s="15" t="inlineStr"/>
    </row>
    <row r="19">
      <c r="A19" s="28">
        <f>'Authority Index'!A20</f>
        <v/>
      </c>
      <c r="B19" s="29">
        <f>'Authority Index'!C20</f>
        <v/>
      </c>
      <c r="C19" s="30" t="inlineStr">
        <is>
          <t>X</t>
        </is>
      </c>
      <c r="D19" s="14" t="inlineStr"/>
      <c r="E19" s="14" t="inlineStr"/>
      <c r="F19" s="14" t="inlineStr"/>
      <c r="G19" s="14" t="inlineStr"/>
      <c r="H19" s="14" t="inlineStr"/>
    </row>
    <row r="20">
      <c r="A20" s="25">
        <f>'Authority Index'!A21</f>
        <v/>
      </c>
      <c r="B20" s="26">
        <f>'Authority Index'!C21</f>
        <v/>
      </c>
      <c r="C20" s="27" t="inlineStr">
        <is>
          <t>X</t>
        </is>
      </c>
      <c r="D20" s="15" t="inlineStr"/>
      <c r="E20" s="15" t="inlineStr"/>
      <c r="F20" s="15" t="inlineStr"/>
      <c r="G20" s="15" t="inlineStr"/>
      <c r="H20" s="15" t="inlineStr"/>
    </row>
    <row r="21">
      <c r="A21" s="28">
        <f>'Authority Index'!A22</f>
        <v/>
      </c>
      <c r="B21" s="29">
        <f>'Authority Index'!C22</f>
        <v/>
      </c>
      <c r="C21" s="30" t="inlineStr">
        <is>
          <t>X</t>
        </is>
      </c>
      <c r="D21" s="14" t="inlineStr"/>
      <c r="E21" s="14" t="inlineStr"/>
      <c r="F21" s="14" t="inlineStr"/>
      <c r="G21" s="14" t="inlineStr"/>
      <c r="H21" s="14" t="inlineStr"/>
    </row>
    <row r="22">
      <c r="A22" s="25">
        <f>'Authority Index'!A23</f>
        <v/>
      </c>
      <c r="B22" s="26">
        <f>'Authority Index'!C23</f>
        <v/>
      </c>
      <c r="C22" s="15" t="inlineStr"/>
      <c r="D22" s="27" t="inlineStr">
        <is>
          <t>X</t>
        </is>
      </c>
      <c r="E22" s="15" t="inlineStr"/>
      <c r="F22" s="15" t="inlineStr"/>
      <c r="G22" s="15" t="inlineStr"/>
      <c r="H22" s="15" t="inlineStr"/>
    </row>
    <row r="23">
      <c r="A23" s="28">
        <f>'Authority Index'!A24</f>
        <v/>
      </c>
      <c r="B23" s="29">
        <f>'Authority Index'!C24</f>
        <v/>
      </c>
      <c r="C23" s="14" t="inlineStr"/>
      <c r="D23" s="30" t="inlineStr">
        <is>
          <t>X</t>
        </is>
      </c>
      <c r="E23" s="14" t="inlineStr"/>
      <c r="F23" s="14" t="inlineStr"/>
      <c r="G23" s="14" t="inlineStr"/>
      <c r="H23" s="14" t="inlineStr"/>
    </row>
    <row r="24">
      <c r="A24" s="25">
        <f>'Authority Index'!A25</f>
        <v/>
      </c>
      <c r="B24" s="26">
        <f>'Authority Index'!C25</f>
        <v/>
      </c>
      <c r="C24" s="15" t="inlineStr"/>
      <c r="D24" s="27" t="inlineStr">
        <is>
          <t>X</t>
        </is>
      </c>
      <c r="E24" s="15" t="inlineStr"/>
      <c r="F24" s="15" t="inlineStr"/>
      <c r="G24" s="15" t="inlineStr"/>
      <c r="H24" s="15" t="inlineStr"/>
    </row>
    <row r="25">
      <c r="A25" s="28">
        <f>'Authority Index'!A26</f>
        <v/>
      </c>
      <c r="B25" s="29">
        <f>'Authority Index'!C26</f>
        <v/>
      </c>
      <c r="C25" s="14" t="inlineStr"/>
      <c r="D25" s="30" t="inlineStr">
        <is>
          <t>X</t>
        </is>
      </c>
      <c r="E25" s="14" t="inlineStr"/>
      <c r="F25" s="14" t="inlineStr"/>
      <c r="G25" s="14" t="inlineStr"/>
      <c r="H25" s="14" t="inlineStr"/>
    </row>
    <row r="26">
      <c r="A26" s="25">
        <f>'Authority Index'!A27</f>
        <v/>
      </c>
      <c r="B26" s="26">
        <f>'Authority Index'!C27</f>
        <v/>
      </c>
      <c r="C26" s="15" t="inlineStr"/>
      <c r="D26" s="27" t="inlineStr">
        <is>
          <t>X</t>
        </is>
      </c>
      <c r="E26" s="15" t="inlineStr"/>
      <c r="F26" s="15" t="inlineStr"/>
      <c r="G26" s="15" t="inlineStr"/>
      <c r="H26" s="15" t="inlineStr"/>
    </row>
    <row r="27">
      <c r="A27" s="28">
        <f>'Authority Index'!A28</f>
        <v/>
      </c>
      <c r="B27" s="29">
        <f>'Authority Index'!C28</f>
        <v/>
      </c>
      <c r="C27" s="14" t="inlineStr"/>
      <c r="D27" s="30" t="inlineStr">
        <is>
          <t>X</t>
        </is>
      </c>
      <c r="E27" s="14" t="inlineStr"/>
      <c r="F27" s="14" t="inlineStr"/>
      <c r="G27" s="14" t="inlineStr"/>
      <c r="H27" s="14" t="inlineStr"/>
    </row>
    <row r="28">
      <c r="A28" s="25">
        <f>'Authority Index'!A29</f>
        <v/>
      </c>
      <c r="B28" s="26">
        <f>'Authority Index'!C29</f>
        <v/>
      </c>
      <c r="C28" s="27" t="inlineStr">
        <is>
          <t>X</t>
        </is>
      </c>
      <c r="D28" s="27" t="inlineStr">
        <is>
          <t>X</t>
        </is>
      </c>
      <c r="E28" s="15" t="inlineStr"/>
      <c r="F28" s="15" t="inlineStr"/>
      <c r="G28" s="27" t="inlineStr">
        <is>
          <t>X</t>
        </is>
      </c>
      <c r="H28" s="15" t="inlineStr"/>
    </row>
    <row r="29">
      <c r="A29" s="28">
        <f>'Authority Index'!A30</f>
        <v/>
      </c>
      <c r="B29" s="29">
        <f>'Authority Index'!C30</f>
        <v/>
      </c>
      <c r="C29" s="14" t="inlineStr"/>
      <c r="D29" s="14" t="inlineStr"/>
      <c r="E29" s="14" t="inlineStr"/>
      <c r="F29" s="14" t="inlineStr"/>
      <c r="G29" s="30" t="inlineStr">
        <is>
          <t>X</t>
        </is>
      </c>
      <c r="H29" s="14" t="inlineStr"/>
    </row>
    <row r="30">
      <c r="A30" s="25">
        <f>'Authority Index'!A31</f>
        <v/>
      </c>
      <c r="B30" s="26">
        <f>'Authority Index'!C31</f>
        <v/>
      </c>
      <c r="C30" s="27" t="inlineStr">
        <is>
          <t>X</t>
        </is>
      </c>
      <c r="D30" s="27" t="inlineStr">
        <is>
          <t>X</t>
        </is>
      </c>
      <c r="E30" s="15" t="inlineStr"/>
      <c r="F30" s="27" t="inlineStr">
        <is>
          <t>X</t>
        </is>
      </c>
      <c r="G30" s="15" t="inlineStr"/>
      <c r="H30" s="15" t="inlineStr"/>
    </row>
    <row r="31">
      <c r="A31" s="28">
        <f>'Authority Index'!A32</f>
        <v/>
      </c>
      <c r="B31" s="29">
        <f>'Authority Index'!C32</f>
        <v/>
      </c>
      <c r="C31" s="14" t="inlineStr"/>
      <c r="D31" s="14" t="inlineStr"/>
      <c r="E31" s="14" t="inlineStr"/>
      <c r="F31" s="14" t="inlineStr"/>
      <c r="G31" s="30" t="inlineStr">
        <is>
          <t>X</t>
        </is>
      </c>
      <c r="H31" s="30" t="inlineStr">
        <is>
          <t>X</t>
        </is>
      </c>
    </row>
    <row r="32">
      <c r="A32" s="25">
        <f>'Authority Index'!A33</f>
        <v/>
      </c>
      <c r="B32" s="26">
        <f>'Authority Index'!C33</f>
        <v/>
      </c>
      <c r="C32" s="27" t="inlineStr">
        <is>
          <t>X</t>
        </is>
      </c>
      <c r="D32" s="15" t="inlineStr"/>
      <c r="E32" s="15" t="inlineStr"/>
      <c r="F32" s="15" t="inlineStr"/>
      <c r="G32" s="15" t="inlineStr"/>
      <c r="H32" s="15" t="inlineStr"/>
    </row>
    <row r="33">
      <c r="A33" s="28">
        <f>'Authority Index'!A34</f>
        <v/>
      </c>
      <c r="B33" s="29">
        <f>'Authority Index'!C34</f>
        <v/>
      </c>
      <c r="C33" s="30" t="inlineStr">
        <is>
          <t>X</t>
        </is>
      </c>
      <c r="D33" s="14" t="inlineStr"/>
      <c r="E33" s="14" t="inlineStr"/>
      <c r="F33" s="14" t="inlineStr"/>
      <c r="G33" s="14" t="inlineStr"/>
      <c r="H33" s="14" t="inlineStr"/>
    </row>
    <row r="34">
      <c r="A34" s="25">
        <f>'Authority Index'!A35</f>
        <v/>
      </c>
      <c r="B34" s="26">
        <f>'Authority Index'!C35</f>
        <v/>
      </c>
      <c r="C34" s="15" t="inlineStr"/>
      <c r="D34" s="15" t="inlineStr"/>
      <c r="E34" s="15" t="inlineStr"/>
      <c r="F34" s="15" t="inlineStr"/>
      <c r="G34" s="15" t="inlineStr"/>
      <c r="H34" s="27" t="inlineStr">
        <is>
          <t>X</t>
        </is>
      </c>
    </row>
    <row r="35">
      <c r="A35" s="28">
        <f>'Authority Index'!A36</f>
        <v/>
      </c>
      <c r="B35" s="29">
        <f>'Authority Index'!C36</f>
        <v/>
      </c>
      <c r="C35" s="14" t="inlineStr"/>
      <c r="D35" s="14" t="inlineStr"/>
      <c r="E35" s="14" t="inlineStr"/>
      <c r="F35" s="14" t="inlineStr"/>
      <c r="G35" s="14" t="inlineStr"/>
      <c r="H35" s="30" t="inlineStr">
        <is>
          <t>X</t>
        </is>
      </c>
    </row>
    <row r="36">
      <c r="A36" s="25">
        <f>'Authority Index'!A37</f>
        <v/>
      </c>
      <c r="B36" s="26">
        <f>'Authority Index'!C37</f>
        <v/>
      </c>
      <c r="C36" s="15" t="inlineStr"/>
      <c r="D36" s="15" t="inlineStr"/>
      <c r="E36" s="15" t="inlineStr"/>
      <c r="F36" s="15" t="inlineStr"/>
      <c r="G36" s="15" t="inlineStr"/>
      <c r="H36" s="27" t="inlineStr">
        <is>
          <t>X</t>
        </is>
      </c>
    </row>
    <row r="37">
      <c r="A37" s="28">
        <f>'Authority Index'!A38</f>
        <v/>
      </c>
      <c r="B37" s="29">
        <f>'Authority Index'!C38</f>
        <v/>
      </c>
      <c r="C37" s="14" t="inlineStr"/>
      <c r="D37" s="14" t="inlineStr"/>
      <c r="E37" s="14" t="inlineStr"/>
      <c r="F37" s="14" t="inlineStr"/>
      <c r="G37" s="30" t="inlineStr">
        <is>
          <t>X</t>
        </is>
      </c>
      <c r="H37" s="14" t="inlineStr"/>
    </row>
    <row r="38">
      <c r="A38" s="25">
        <f>'Authority Index'!A39</f>
        <v/>
      </c>
      <c r="B38" s="26">
        <f>'Authority Index'!C39</f>
        <v/>
      </c>
      <c r="C38" s="15" t="inlineStr"/>
      <c r="D38" s="15" t="inlineStr"/>
      <c r="E38" s="15" t="inlineStr"/>
      <c r="F38" s="15" t="inlineStr"/>
      <c r="G38" s="27" t="inlineStr">
        <is>
          <t>X</t>
        </is>
      </c>
      <c r="H38" s="15" t="inlineStr"/>
    </row>
    <row r="39">
      <c r="A39" s="28">
        <f>'Authority Index'!A40</f>
        <v/>
      </c>
      <c r="B39" s="29">
        <f>'Authority Index'!C40</f>
        <v/>
      </c>
      <c r="C39" s="14" t="inlineStr"/>
      <c r="D39" s="14" t="inlineStr"/>
      <c r="E39" s="14" t="inlineStr"/>
      <c r="F39" s="14" t="inlineStr"/>
      <c r="G39" s="30" t="inlineStr">
        <is>
          <t>X</t>
        </is>
      </c>
      <c r="H39" s="14" t="inlineStr"/>
    </row>
    <row r="40">
      <c r="A40" s="25">
        <f>'Authority Index'!A41</f>
        <v/>
      </c>
      <c r="B40" s="26">
        <f>'Authority Index'!C41</f>
        <v/>
      </c>
      <c r="C40" s="27" t="inlineStr">
        <is>
          <t>X</t>
        </is>
      </c>
      <c r="D40" s="27" t="inlineStr">
        <is>
          <t>X</t>
        </is>
      </c>
      <c r="E40" s="15" t="inlineStr"/>
      <c r="F40" s="15" t="inlineStr"/>
      <c r="G40" s="15" t="inlineStr"/>
      <c r="H40" s="15" t="inlineStr"/>
    </row>
    <row r="41">
      <c r="A41" s="28">
        <f>'Authority Index'!A42</f>
        <v/>
      </c>
      <c r="B41" s="29">
        <f>'Authority Index'!C42</f>
        <v/>
      </c>
      <c r="C41" s="30" t="inlineStr">
        <is>
          <t>X</t>
        </is>
      </c>
      <c r="D41" s="30" t="inlineStr">
        <is>
          <t>X</t>
        </is>
      </c>
      <c r="E41" s="14" t="inlineStr"/>
      <c r="F41" s="14" t="inlineStr"/>
      <c r="G41" s="14" t="inlineStr"/>
      <c r="H41" s="14" t="inlineStr"/>
    </row>
    <row r="42">
      <c r="A42" s="25">
        <f>'Authority Index'!A43</f>
        <v/>
      </c>
      <c r="B42" s="26">
        <f>'Authority Index'!C43</f>
        <v/>
      </c>
      <c r="C42" s="27" t="inlineStr">
        <is>
          <t>X</t>
        </is>
      </c>
      <c r="D42" s="27" t="inlineStr">
        <is>
          <t>X</t>
        </is>
      </c>
      <c r="E42" s="15" t="inlineStr"/>
      <c r="F42" s="15" t="inlineStr"/>
      <c r="G42" s="15" t="inlineStr"/>
      <c r="H42" s="15" t="inlineStr"/>
    </row>
    <row r="43">
      <c r="A43" s="28">
        <f>'Authority Index'!A44</f>
        <v/>
      </c>
      <c r="B43" s="29">
        <f>'Authority Index'!C44</f>
        <v/>
      </c>
      <c r="C43" s="14" t="inlineStr"/>
      <c r="D43" s="14" t="inlineStr"/>
      <c r="E43" s="14" t="inlineStr"/>
      <c r="F43" s="30" t="inlineStr">
        <is>
          <t>X</t>
        </is>
      </c>
      <c r="G43" s="14" t="inlineStr"/>
      <c r="H43" s="14" t="inlineStr"/>
    </row>
    <row r="44">
      <c r="A44" s="25">
        <f>'Authority Index'!A45</f>
        <v/>
      </c>
      <c r="B44" s="26">
        <f>'Authority Index'!C45</f>
        <v/>
      </c>
      <c r="C44" s="15" t="inlineStr"/>
      <c r="D44" s="15" t="inlineStr"/>
      <c r="E44" s="15" t="inlineStr"/>
      <c r="F44" s="15" t="inlineStr"/>
      <c r="G44" s="27" t="inlineStr">
        <is>
          <t>X</t>
        </is>
      </c>
      <c r="H44" s="15" t="inlineStr"/>
    </row>
    <row r="45">
      <c r="A45" s="28">
        <f>'Authority Index'!A46</f>
        <v/>
      </c>
      <c r="B45" s="29">
        <f>'Authority Index'!C46</f>
        <v/>
      </c>
      <c r="C45" s="14" t="inlineStr"/>
      <c r="D45" s="14" t="inlineStr"/>
      <c r="E45" s="14" t="inlineStr"/>
      <c r="F45" s="14" t="inlineStr"/>
      <c r="G45" s="30" t="inlineStr">
        <is>
          <t>X</t>
        </is>
      </c>
      <c r="H45" s="14" t="inlineStr"/>
    </row>
    <row r="46">
      <c r="A46" s="25">
        <f>'Authority Index'!A47</f>
        <v/>
      </c>
      <c r="B46" s="26">
        <f>'Authority Index'!C47</f>
        <v/>
      </c>
      <c r="C46" s="15" t="inlineStr"/>
      <c r="D46" s="15" t="inlineStr"/>
      <c r="E46" s="15" t="inlineStr"/>
      <c r="F46" s="15" t="inlineStr"/>
      <c r="G46" s="27" t="inlineStr">
        <is>
          <t>X</t>
        </is>
      </c>
      <c r="H46" s="15" t="inlineStr"/>
    </row>
    <row r="47">
      <c r="A47" s="28">
        <f>'Authority Index'!A48</f>
        <v/>
      </c>
      <c r="B47" s="29">
        <f>'Authority Index'!C48</f>
        <v/>
      </c>
      <c r="C47" s="14" t="inlineStr"/>
      <c r="D47" s="30" t="inlineStr">
        <is>
          <t>X</t>
        </is>
      </c>
      <c r="E47" s="14" t="inlineStr"/>
      <c r="F47" s="14" t="inlineStr"/>
      <c r="G47" s="14" t="inlineStr"/>
      <c r="H47" s="14" t="inlineStr"/>
    </row>
    <row r="48">
      <c r="A48" s="25">
        <f>'Authority Index'!A49</f>
        <v/>
      </c>
      <c r="B48" s="26">
        <f>'Authority Index'!C49</f>
        <v/>
      </c>
      <c r="C48" s="15" t="inlineStr"/>
      <c r="D48" s="27" t="inlineStr">
        <is>
          <t>X</t>
        </is>
      </c>
      <c r="E48" s="15" t="inlineStr"/>
      <c r="F48" s="15" t="inlineStr"/>
      <c r="G48" s="15" t="inlineStr"/>
      <c r="H48" s="15" t="inlineStr"/>
    </row>
    <row r="49">
      <c r="A49" s="28">
        <f>'Authority Index'!A50</f>
        <v/>
      </c>
      <c r="B49" s="29">
        <f>'Authority Index'!C50</f>
        <v/>
      </c>
      <c r="C49" s="14" t="inlineStr"/>
      <c r="D49" s="14" t="inlineStr"/>
      <c r="E49" s="14" t="inlineStr"/>
      <c r="F49" s="14" t="inlineStr"/>
      <c r="G49" s="30" t="inlineStr">
        <is>
          <t>X</t>
        </is>
      </c>
      <c r="H49" s="14" t="inlineStr"/>
    </row>
    <row r="50">
      <c r="A50" s="25">
        <f>'Authority Index'!A51</f>
        <v/>
      </c>
      <c r="B50" s="26">
        <f>'Authority Index'!C51</f>
        <v/>
      </c>
      <c r="C50" s="15" t="inlineStr"/>
      <c r="D50" s="15" t="inlineStr"/>
      <c r="E50" s="15" t="inlineStr"/>
      <c r="F50" s="15" t="inlineStr"/>
      <c r="G50" s="27" t="inlineStr">
        <is>
          <t>X</t>
        </is>
      </c>
      <c r="H50" s="15" t="inlineStr"/>
    </row>
    <row r="51">
      <c r="A51" s="28">
        <f>'Authority Index'!A52</f>
        <v/>
      </c>
      <c r="B51" s="29">
        <f>'Authority Index'!C52</f>
        <v/>
      </c>
      <c r="C51" s="14" t="inlineStr"/>
      <c r="D51" s="14" t="inlineStr"/>
      <c r="E51" s="14" t="inlineStr"/>
      <c r="F51" s="14" t="inlineStr"/>
      <c r="G51" s="30" t="inlineStr">
        <is>
          <t>X</t>
        </is>
      </c>
      <c r="H51" s="14" t="inlineStr"/>
    </row>
    <row r="52">
      <c r="A52" s="25">
        <f>'Authority Index'!A53</f>
        <v/>
      </c>
      <c r="B52" s="26">
        <f>'Authority Index'!C53</f>
        <v/>
      </c>
      <c r="C52" s="15" t="inlineStr"/>
      <c r="D52" s="15" t="inlineStr"/>
      <c r="E52" s="15" t="inlineStr"/>
      <c r="F52" s="15" t="inlineStr"/>
      <c r="G52" s="27" t="inlineStr">
        <is>
          <t>X</t>
        </is>
      </c>
      <c r="H52" s="15" t="inlineStr"/>
    </row>
    <row r="53">
      <c r="A53" s="28">
        <f>'Authority Index'!A54</f>
        <v/>
      </c>
      <c r="B53" s="29">
        <f>'Authority Index'!C54</f>
        <v/>
      </c>
      <c r="C53" s="14" t="inlineStr"/>
      <c r="D53" s="14" t="inlineStr"/>
      <c r="E53" s="14" t="inlineStr"/>
      <c r="F53" s="14" t="inlineStr"/>
      <c r="G53" s="30" t="inlineStr">
        <is>
          <t>X</t>
        </is>
      </c>
      <c r="H53" s="14" t="inlineStr"/>
    </row>
    <row r="54">
      <c r="A54" s="25">
        <f>'Authority Index'!A55</f>
        <v/>
      </c>
      <c r="B54" s="26">
        <f>'Authority Index'!C55</f>
        <v/>
      </c>
      <c r="C54" s="27" t="inlineStr">
        <is>
          <t>X</t>
        </is>
      </c>
      <c r="D54" s="15" t="inlineStr"/>
      <c r="E54" s="15" t="inlineStr"/>
      <c r="F54" s="15" t="inlineStr"/>
      <c r="G54" s="15" t="inlineStr"/>
      <c r="H54" s="15" t="inlineStr"/>
    </row>
    <row r="55">
      <c r="A55" s="28">
        <f>'Authority Index'!A56</f>
        <v/>
      </c>
      <c r="B55" s="29">
        <f>'Authority Index'!C56</f>
        <v/>
      </c>
      <c r="C55" s="30" t="inlineStr">
        <is>
          <t>X</t>
        </is>
      </c>
      <c r="D55" s="14" t="inlineStr"/>
      <c r="E55" s="14" t="inlineStr"/>
      <c r="F55" s="14" t="inlineStr"/>
      <c r="G55" s="14" t="inlineStr"/>
      <c r="H55" s="14" t="inlineStr"/>
    </row>
    <row r="56">
      <c r="A56" s="25">
        <f>'Authority Index'!A57</f>
        <v/>
      </c>
      <c r="B56" s="26">
        <f>'Authority Index'!C57</f>
        <v/>
      </c>
      <c r="C56" s="15" t="inlineStr"/>
      <c r="D56" s="15" t="inlineStr"/>
      <c r="E56" s="15" t="inlineStr"/>
      <c r="F56" s="27" t="inlineStr">
        <is>
          <t>X</t>
        </is>
      </c>
      <c r="G56" s="15" t="inlineStr"/>
      <c r="H56" s="15" t="inlineStr"/>
    </row>
    <row r="57">
      <c r="A57" s="28">
        <f>'Authority Index'!A58</f>
        <v/>
      </c>
      <c r="B57" s="29">
        <f>'Authority Index'!C58</f>
        <v/>
      </c>
      <c r="C57" s="30" t="inlineStr">
        <is>
          <t>X</t>
        </is>
      </c>
      <c r="D57" s="14" t="inlineStr"/>
      <c r="E57" s="14" t="inlineStr"/>
      <c r="F57" s="14" t="inlineStr"/>
      <c r="G57" s="14" t="inlineStr"/>
      <c r="H57" s="14" t="inlineStr"/>
    </row>
    <row r="58">
      <c r="A58" s="25">
        <f>'Authority Index'!A59</f>
        <v/>
      </c>
      <c r="B58" s="26">
        <f>'Authority Index'!C59</f>
        <v/>
      </c>
      <c r="C58" s="27" t="inlineStr">
        <is>
          <t>X</t>
        </is>
      </c>
      <c r="D58" s="15" t="inlineStr"/>
      <c r="E58" s="15" t="inlineStr"/>
      <c r="F58" s="15" t="inlineStr"/>
      <c r="G58" s="15" t="inlineStr"/>
      <c r="H58" s="15" t="inlineStr"/>
    </row>
    <row r="59">
      <c r="A59" s="28">
        <f>'Authority Index'!A60</f>
        <v/>
      </c>
      <c r="B59" s="29">
        <f>'Authority Index'!C60</f>
        <v/>
      </c>
      <c r="C59" s="30" t="inlineStr">
        <is>
          <t>X</t>
        </is>
      </c>
      <c r="D59" s="14" t="inlineStr"/>
      <c r="E59" s="14" t="inlineStr"/>
      <c r="F59" s="14" t="inlineStr"/>
      <c r="G59" s="14" t="inlineStr"/>
      <c r="H59" s="14" t="inlineStr"/>
    </row>
    <row r="60">
      <c r="A60" s="25">
        <f>'Authority Index'!A61</f>
        <v/>
      </c>
      <c r="B60" s="26">
        <f>'Authority Index'!C61</f>
        <v/>
      </c>
      <c r="C60" s="15" t="inlineStr"/>
      <c r="D60" s="15" t="inlineStr"/>
      <c r="E60" s="15" t="inlineStr"/>
      <c r="F60" s="15" t="inlineStr"/>
      <c r="G60" s="27" t="inlineStr">
        <is>
          <t>X</t>
        </is>
      </c>
      <c r="H60" s="15" t="inlineStr"/>
    </row>
    <row r="61">
      <c r="A61" s="28">
        <f>'Authority Index'!A62</f>
        <v/>
      </c>
      <c r="B61" s="29">
        <f>'Authority Index'!C62</f>
        <v/>
      </c>
      <c r="C61" s="14" t="inlineStr"/>
      <c r="D61" s="14" t="inlineStr"/>
      <c r="E61" s="14" t="inlineStr"/>
      <c r="F61" s="14" t="inlineStr"/>
      <c r="G61" s="30" t="inlineStr">
        <is>
          <t>X</t>
        </is>
      </c>
      <c r="H61" s="14" t="inlineStr"/>
    </row>
    <row r="62">
      <c r="A62" s="25">
        <f>'Authority Index'!A63</f>
        <v/>
      </c>
      <c r="B62" s="26">
        <f>'Authority Index'!C63</f>
        <v/>
      </c>
      <c r="C62" s="15" t="inlineStr"/>
      <c r="D62" s="15" t="inlineStr"/>
      <c r="E62" s="15" t="inlineStr"/>
      <c r="F62" s="15" t="inlineStr"/>
      <c r="G62" s="27" t="inlineStr">
        <is>
          <t>X</t>
        </is>
      </c>
      <c r="H62" s="15" t="inlineStr"/>
    </row>
    <row r="63">
      <c r="A63" s="28">
        <f>'Authority Index'!A64</f>
        <v/>
      </c>
      <c r="B63" s="29">
        <f>'Authority Index'!C64</f>
        <v/>
      </c>
      <c r="C63" s="14" t="inlineStr"/>
      <c r="D63" s="30" t="inlineStr">
        <is>
          <t>X</t>
        </is>
      </c>
      <c r="E63" s="14" t="inlineStr"/>
      <c r="F63" s="14" t="inlineStr"/>
      <c r="G63" s="14" t="inlineStr"/>
      <c r="H63" s="14" t="inlineStr"/>
    </row>
    <row r="65">
      <c r="A65" s="31" t="n"/>
      <c r="B65" s="20" t="inlineStr">
        <is>
          <t>TOTALS PER LANE</t>
        </is>
      </c>
      <c r="C65" s="32">
        <f>COUNTIF(C4:C63,"X")</f>
        <v/>
      </c>
      <c r="D65" s="32">
        <f>COUNTIF(D4:D63,"X")</f>
        <v/>
      </c>
      <c r="E65" s="32">
        <f>COUNTIF(E4:E63,"X")</f>
        <v/>
      </c>
      <c r="F65" s="32">
        <f>COUNTIF(F4:F63,"X")</f>
        <v/>
      </c>
      <c r="G65" s="32">
        <f>COUNTIF(G4:G63,"X")</f>
        <v/>
      </c>
      <c r="H65" s="32">
        <f>COUNTIF(H4:H63,"X")</f>
        <v/>
      </c>
    </row>
  </sheetData>
  <autoFilter ref="A3:H63"/>
  <mergeCells count="1">
    <mergeCell ref="A1:H1"/>
  </mergeCells>
  <pageMargins left="0.75" right="0.75" top="1" bottom="1" header="0.5" footer="0.5"/>
</worksheet>
</file>

<file path=xl/worksheets/sheet3.xml><?xml version="1.0" encoding="utf-8"?>
<worksheet xmlns="http://schemas.openxmlformats.org/spreadsheetml/2006/main">
  <sheetPr>
    <tabColor rgb="007C3AED"/>
    <outlinePr summaryBelow="1" summaryRight="1"/>
    <pageSetUpPr/>
  </sheetPr>
  <dimension ref="A1:L6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s>
  <sheetData>
    <row r="1">
      <c r="A1" s="24" t="inlineStr">
        <is>
          <t>Authority × Filing Cross-Reference Matrix</t>
        </is>
      </c>
    </row>
    <row r="3">
      <c r="A3" s="3" t="inlineStr">
        <is>
          <t>ID</t>
        </is>
      </c>
      <c r="B3" s="3" t="inlineStr">
        <is>
          <t>Short Name</t>
        </is>
      </c>
      <c r="C3" s="3" t="inlineStr">
        <is>
          <t>JTC</t>
        </is>
      </c>
      <c r="D3" s="3" t="inlineStr">
        <is>
          <t>MSC Super</t>
        </is>
      </c>
      <c r="E3" s="3" t="inlineStr">
        <is>
          <t>Contempt</t>
        </is>
      </c>
      <c r="F3" s="3" t="inlineStr">
        <is>
          <t>Disqual</t>
        </is>
      </c>
      <c r="G3" s="3" t="inlineStr">
        <is>
          <t>Emergency PT</t>
        </is>
      </c>
      <c r="H3" s="3" t="inlineStr">
        <is>
          <t>COA Brief</t>
        </is>
      </c>
      <c r="I3" s="3" t="inlineStr">
        <is>
          <t>Housing</t>
        </is>
      </c>
      <c r="J3" s="3" t="inlineStr">
        <is>
          <t>Federal</t>
        </is>
      </c>
      <c r="K3" s="3" t="inlineStr">
        <is>
          <t>Tort</t>
        </is>
      </c>
      <c r="L3" s="3" t="inlineStr">
        <is>
          <t>Citations/Authority</t>
        </is>
      </c>
    </row>
    <row r="4">
      <c r="A4" s="25">
        <f>'Authority Index'!A5</f>
        <v/>
      </c>
      <c r="B4" s="26">
        <f>'Authority Index'!C5</f>
        <v/>
      </c>
      <c r="C4" s="33" t="inlineStr">
        <is>
          <t>X</t>
        </is>
      </c>
      <c r="D4" s="33" t="inlineStr">
        <is>
          <t>X</t>
        </is>
      </c>
      <c r="E4" s="33" t="inlineStr">
        <is>
          <t>X</t>
        </is>
      </c>
      <c r="F4" s="15" t="inlineStr"/>
      <c r="G4" s="33" t="inlineStr">
        <is>
          <t>X</t>
        </is>
      </c>
      <c r="H4" s="15" t="inlineStr"/>
      <c r="I4" s="15" t="inlineStr"/>
      <c r="J4" s="15" t="inlineStr"/>
      <c r="K4" s="15" t="inlineStr"/>
      <c r="L4" s="15">
        <f>COUNTIF(C4:K4,"X")</f>
        <v/>
      </c>
    </row>
    <row r="5">
      <c r="A5" s="28">
        <f>'Authority Index'!A6</f>
        <v/>
      </c>
      <c r="B5" s="29">
        <f>'Authority Index'!C6</f>
        <v/>
      </c>
      <c r="C5" s="34" t="inlineStr">
        <is>
          <t>X</t>
        </is>
      </c>
      <c r="D5" s="34" t="inlineStr">
        <is>
          <t>X</t>
        </is>
      </c>
      <c r="E5" s="14" t="inlineStr"/>
      <c r="F5" s="14" t="inlineStr"/>
      <c r="G5" s="14" t="inlineStr"/>
      <c r="H5" s="14" t="inlineStr"/>
      <c r="I5" s="14" t="inlineStr"/>
      <c r="J5" s="34" t="inlineStr">
        <is>
          <t>X</t>
        </is>
      </c>
      <c r="K5" s="14" t="inlineStr"/>
      <c r="L5" s="14">
        <f>COUNTIF(C5:K5,"X")</f>
        <v/>
      </c>
    </row>
    <row r="6">
      <c r="A6" s="25">
        <f>'Authority Index'!A7</f>
        <v/>
      </c>
      <c r="B6" s="26">
        <f>'Authority Index'!C7</f>
        <v/>
      </c>
      <c r="C6" s="15" t="inlineStr"/>
      <c r="D6" s="15" t="inlineStr"/>
      <c r="E6" s="15" t="inlineStr"/>
      <c r="F6" s="15" t="inlineStr"/>
      <c r="G6" s="15" t="inlineStr"/>
      <c r="H6" s="15" t="inlineStr"/>
      <c r="I6" s="15" t="inlineStr"/>
      <c r="J6" s="33" t="inlineStr">
        <is>
          <t>X</t>
        </is>
      </c>
      <c r="K6" s="15" t="inlineStr"/>
      <c r="L6" s="15">
        <f>COUNTIF(C6:K6,"X")</f>
        <v/>
      </c>
    </row>
    <row r="7">
      <c r="A7" s="28">
        <f>'Authority Index'!A8</f>
        <v/>
      </c>
      <c r="B7" s="29">
        <f>'Authority Index'!C8</f>
        <v/>
      </c>
      <c r="C7" s="14" t="inlineStr"/>
      <c r="D7" s="14" t="inlineStr"/>
      <c r="E7" s="34" t="inlineStr">
        <is>
          <t>X</t>
        </is>
      </c>
      <c r="F7" s="14" t="inlineStr"/>
      <c r="G7" s="34" t="inlineStr">
        <is>
          <t>X</t>
        </is>
      </c>
      <c r="H7" s="14" t="inlineStr"/>
      <c r="I7" s="14" t="inlineStr"/>
      <c r="J7" s="14" t="inlineStr"/>
      <c r="K7" s="14" t="inlineStr"/>
      <c r="L7" s="14">
        <f>COUNTIF(C7:K7,"X")</f>
        <v/>
      </c>
    </row>
    <row r="8">
      <c r="A8" s="25">
        <f>'Authority Index'!A9</f>
        <v/>
      </c>
      <c r="B8" s="26">
        <f>'Authority Index'!C9</f>
        <v/>
      </c>
      <c r="C8" s="33" t="inlineStr">
        <is>
          <t>X</t>
        </is>
      </c>
      <c r="D8" s="15" t="inlineStr"/>
      <c r="E8" s="33" t="inlineStr">
        <is>
          <t>X</t>
        </is>
      </c>
      <c r="F8" s="15" t="inlineStr"/>
      <c r="G8" s="33" t="inlineStr">
        <is>
          <t>X</t>
        </is>
      </c>
      <c r="H8" s="15" t="inlineStr"/>
      <c r="I8" s="15" t="inlineStr"/>
      <c r="J8" s="15" t="inlineStr"/>
      <c r="K8" s="15" t="inlineStr"/>
      <c r="L8" s="15">
        <f>COUNTIF(C8:K8,"X")</f>
        <v/>
      </c>
    </row>
    <row r="9">
      <c r="A9" s="28">
        <f>'Authority Index'!A10</f>
        <v/>
      </c>
      <c r="B9" s="29">
        <f>'Authority Index'!C10</f>
        <v/>
      </c>
      <c r="C9" s="34" t="inlineStr">
        <is>
          <t>X</t>
        </is>
      </c>
      <c r="D9" s="34" t="inlineStr">
        <is>
          <t>X</t>
        </is>
      </c>
      <c r="E9" s="14" t="inlineStr"/>
      <c r="F9" s="14" t="inlineStr"/>
      <c r="G9" s="14" t="inlineStr"/>
      <c r="H9" s="14" t="inlineStr"/>
      <c r="I9" s="14" t="inlineStr"/>
      <c r="J9" s="14" t="inlineStr"/>
      <c r="K9" s="14" t="inlineStr"/>
      <c r="L9" s="14">
        <f>COUNTIF(C9:K9,"X")</f>
        <v/>
      </c>
    </row>
    <row r="10">
      <c r="A10" s="25">
        <f>'Authority Index'!A11</f>
        <v/>
      </c>
      <c r="B10" s="26">
        <f>'Authority Index'!C11</f>
        <v/>
      </c>
      <c r="C10" s="33" t="inlineStr">
        <is>
          <t>X</t>
        </is>
      </c>
      <c r="D10" s="33" t="inlineStr">
        <is>
          <t>X</t>
        </is>
      </c>
      <c r="E10" s="33" t="inlineStr">
        <is>
          <t>X</t>
        </is>
      </c>
      <c r="F10" s="15" t="inlineStr"/>
      <c r="G10" s="15" t="inlineStr"/>
      <c r="H10" s="15" t="inlineStr"/>
      <c r="I10" s="15" t="inlineStr"/>
      <c r="J10" s="15" t="inlineStr"/>
      <c r="K10" s="15" t="inlineStr"/>
      <c r="L10" s="15">
        <f>COUNTIF(C10:K10,"X")</f>
        <v/>
      </c>
    </row>
    <row r="11">
      <c r="A11" s="28">
        <f>'Authority Index'!A12</f>
        <v/>
      </c>
      <c r="B11" s="29">
        <f>'Authority Index'!C12</f>
        <v/>
      </c>
      <c r="C11" s="34" t="inlineStr">
        <is>
          <t>X</t>
        </is>
      </c>
      <c r="D11" s="14" t="inlineStr"/>
      <c r="E11" s="14" t="inlineStr"/>
      <c r="F11" s="34" t="inlineStr">
        <is>
          <t>X</t>
        </is>
      </c>
      <c r="G11" s="14" t="inlineStr"/>
      <c r="H11" s="14" t="inlineStr"/>
      <c r="I11" s="14" t="inlineStr"/>
      <c r="J11" s="14" t="inlineStr"/>
      <c r="K11" s="14" t="inlineStr"/>
      <c r="L11" s="14">
        <f>COUNTIF(C11:K11,"X")</f>
        <v/>
      </c>
    </row>
    <row r="12">
      <c r="A12" s="25">
        <f>'Authority Index'!A13</f>
        <v/>
      </c>
      <c r="B12" s="26">
        <f>'Authority Index'!C13</f>
        <v/>
      </c>
      <c r="C12" s="15" t="inlineStr"/>
      <c r="D12" s="15" t="inlineStr"/>
      <c r="E12" s="15" t="inlineStr"/>
      <c r="F12" s="15" t="inlineStr"/>
      <c r="G12" s="15" t="inlineStr"/>
      <c r="H12" s="15" t="inlineStr"/>
      <c r="I12" s="15" t="inlineStr"/>
      <c r="J12" s="33" t="inlineStr">
        <is>
          <t>X</t>
        </is>
      </c>
      <c r="K12" s="15" t="inlineStr"/>
      <c r="L12" s="15">
        <f>COUNTIF(C12:K12,"X")</f>
        <v/>
      </c>
    </row>
    <row r="13">
      <c r="A13" s="28">
        <f>'Authority Index'!A14</f>
        <v/>
      </c>
      <c r="B13" s="29">
        <f>'Authority Index'!C14</f>
        <v/>
      </c>
      <c r="C13" s="14" t="inlineStr"/>
      <c r="D13" s="14" t="inlineStr"/>
      <c r="E13" s="14" t="inlineStr"/>
      <c r="F13" s="14" t="inlineStr"/>
      <c r="G13" s="14" t="inlineStr"/>
      <c r="H13" s="14" t="inlineStr"/>
      <c r="I13" s="14" t="inlineStr"/>
      <c r="J13" s="34" t="inlineStr">
        <is>
          <t>X</t>
        </is>
      </c>
      <c r="K13" s="14" t="inlineStr"/>
      <c r="L13" s="14">
        <f>COUNTIF(C13:K13,"X")</f>
        <v/>
      </c>
    </row>
    <row r="14">
      <c r="A14" s="25">
        <f>'Authority Index'!A15</f>
        <v/>
      </c>
      <c r="B14" s="26">
        <f>'Authority Index'!C15</f>
        <v/>
      </c>
      <c r="C14" s="15" t="inlineStr"/>
      <c r="D14" s="15" t="inlineStr"/>
      <c r="E14" s="33" t="inlineStr">
        <is>
          <t>X</t>
        </is>
      </c>
      <c r="F14" s="15" t="inlineStr"/>
      <c r="G14" s="33" t="inlineStr">
        <is>
          <t>X</t>
        </is>
      </c>
      <c r="H14" s="33" t="inlineStr">
        <is>
          <t>X</t>
        </is>
      </c>
      <c r="I14" s="15" t="inlineStr"/>
      <c r="J14" s="15" t="inlineStr"/>
      <c r="K14" s="15" t="inlineStr"/>
      <c r="L14" s="15">
        <f>COUNTIF(C14:K14,"X")</f>
        <v/>
      </c>
    </row>
    <row r="15">
      <c r="A15" s="28">
        <f>'Authority Index'!A16</f>
        <v/>
      </c>
      <c r="B15" s="29">
        <f>'Authority Index'!C16</f>
        <v/>
      </c>
      <c r="C15" s="14" t="inlineStr"/>
      <c r="D15" s="14" t="inlineStr"/>
      <c r="E15" s="34" t="inlineStr">
        <is>
          <t>X</t>
        </is>
      </c>
      <c r="F15" s="14" t="inlineStr"/>
      <c r="G15" s="34" t="inlineStr">
        <is>
          <t>X</t>
        </is>
      </c>
      <c r="H15" s="34" t="inlineStr">
        <is>
          <t>X</t>
        </is>
      </c>
      <c r="I15" s="14" t="inlineStr"/>
      <c r="J15" s="14" t="inlineStr"/>
      <c r="K15" s="14" t="inlineStr"/>
      <c r="L15" s="14">
        <f>COUNTIF(C15:K15,"X")</f>
        <v/>
      </c>
    </row>
    <row r="16">
      <c r="A16" s="25">
        <f>'Authority Index'!A17</f>
        <v/>
      </c>
      <c r="B16" s="26">
        <f>'Authority Index'!C17</f>
        <v/>
      </c>
      <c r="C16" s="15" t="inlineStr"/>
      <c r="D16" s="15" t="inlineStr"/>
      <c r="E16" s="33" t="inlineStr">
        <is>
          <t>X</t>
        </is>
      </c>
      <c r="F16" s="15" t="inlineStr"/>
      <c r="G16" s="33" t="inlineStr">
        <is>
          <t>X</t>
        </is>
      </c>
      <c r="H16" s="33" t="inlineStr">
        <is>
          <t>X</t>
        </is>
      </c>
      <c r="I16" s="15" t="inlineStr"/>
      <c r="J16" s="15" t="inlineStr"/>
      <c r="K16" s="15" t="inlineStr"/>
      <c r="L16" s="15">
        <f>COUNTIF(C16:K16,"X")</f>
        <v/>
      </c>
    </row>
    <row r="17">
      <c r="A17" s="28">
        <f>'Authority Index'!A18</f>
        <v/>
      </c>
      <c r="B17" s="29">
        <f>'Authority Index'!C18</f>
        <v/>
      </c>
      <c r="C17" s="14" t="inlineStr"/>
      <c r="D17" s="14" t="inlineStr"/>
      <c r="E17" s="34" t="inlineStr">
        <is>
          <t>X</t>
        </is>
      </c>
      <c r="F17" s="14" t="inlineStr"/>
      <c r="G17" s="14" t="inlineStr"/>
      <c r="H17" s="34" t="inlineStr">
        <is>
          <t>X</t>
        </is>
      </c>
      <c r="I17" s="14" t="inlineStr"/>
      <c r="J17" s="14" t="inlineStr"/>
      <c r="K17" s="14" t="inlineStr"/>
      <c r="L17" s="14">
        <f>COUNTIF(C17:K17,"X")</f>
        <v/>
      </c>
    </row>
    <row r="18">
      <c r="A18" s="25">
        <f>'Authority Index'!A19</f>
        <v/>
      </c>
      <c r="B18" s="26">
        <f>'Authority Index'!C19</f>
        <v/>
      </c>
      <c r="C18" s="15" t="inlineStr"/>
      <c r="D18" s="15" t="inlineStr"/>
      <c r="E18" s="15" t="inlineStr"/>
      <c r="F18" s="15" t="inlineStr"/>
      <c r="G18" s="33" t="inlineStr">
        <is>
          <t>X</t>
        </is>
      </c>
      <c r="H18" s="33" t="inlineStr">
        <is>
          <t>X</t>
        </is>
      </c>
      <c r="I18" s="15" t="inlineStr"/>
      <c r="J18" s="15" t="inlineStr"/>
      <c r="K18" s="15" t="inlineStr"/>
      <c r="L18" s="15">
        <f>COUNTIF(C18:K18,"X")</f>
        <v/>
      </c>
    </row>
    <row r="19">
      <c r="A19" s="28">
        <f>'Authority Index'!A20</f>
        <v/>
      </c>
      <c r="B19" s="29">
        <f>'Authority Index'!C20</f>
        <v/>
      </c>
      <c r="C19" s="14" t="inlineStr"/>
      <c r="D19" s="14" t="inlineStr"/>
      <c r="E19" s="34" t="inlineStr">
        <is>
          <t>X</t>
        </is>
      </c>
      <c r="F19" s="34" t="inlineStr">
        <is>
          <t>X</t>
        </is>
      </c>
      <c r="G19" s="34" t="inlineStr">
        <is>
          <t>X</t>
        </is>
      </c>
      <c r="H19" s="34" t="inlineStr">
        <is>
          <t>X</t>
        </is>
      </c>
      <c r="I19" s="14" t="inlineStr"/>
      <c r="J19" s="14" t="inlineStr"/>
      <c r="K19" s="14" t="inlineStr"/>
      <c r="L19" s="14">
        <f>COUNTIF(C19:K19,"X")</f>
        <v/>
      </c>
    </row>
    <row r="20">
      <c r="A20" s="25">
        <f>'Authority Index'!A21</f>
        <v/>
      </c>
      <c r="B20" s="26">
        <f>'Authority Index'!C21</f>
        <v/>
      </c>
      <c r="C20" s="15" t="inlineStr"/>
      <c r="D20" s="15" t="inlineStr"/>
      <c r="E20" s="33" t="inlineStr">
        <is>
          <t>X</t>
        </is>
      </c>
      <c r="F20" s="15" t="inlineStr"/>
      <c r="G20" s="33" t="inlineStr">
        <is>
          <t>X</t>
        </is>
      </c>
      <c r="H20" s="33" t="inlineStr">
        <is>
          <t>X</t>
        </is>
      </c>
      <c r="I20" s="15" t="inlineStr"/>
      <c r="J20" s="15" t="inlineStr"/>
      <c r="K20" s="15" t="inlineStr"/>
      <c r="L20" s="15">
        <f>COUNTIF(C20:K20,"X")</f>
        <v/>
      </c>
    </row>
    <row r="21">
      <c r="A21" s="28">
        <f>'Authority Index'!A22</f>
        <v/>
      </c>
      <c r="B21" s="29">
        <f>'Authority Index'!C22</f>
        <v/>
      </c>
      <c r="C21" s="14" t="inlineStr"/>
      <c r="D21" s="14" t="inlineStr"/>
      <c r="E21" s="34" t="inlineStr">
        <is>
          <t>X</t>
        </is>
      </c>
      <c r="F21" s="14" t="inlineStr"/>
      <c r="G21" s="14" t="inlineStr"/>
      <c r="H21" s="14" t="inlineStr"/>
      <c r="I21" s="14" t="inlineStr"/>
      <c r="J21" s="14" t="inlineStr"/>
      <c r="K21" s="14" t="inlineStr"/>
      <c r="L21" s="14">
        <f>COUNTIF(C21:K21,"X")</f>
        <v/>
      </c>
    </row>
    <row r="22">
      <c r="A22" s="25">
        <f>'Authority Index'!A23</f>
        <v/>
      </c>
      <c r="B22" s="26">
        <f>'Authority Index'!C23</f>
        <v/>
      </c>
      <c r="C22" s="15" t="inlineStr"/>
      <c r="D22" s="15" t="inlineStr"/>
      <c r="E22" s="15" t="inlineStr"/>
      <c r="F22" s="15" t="inlineStr"/>
      <c r="G22" s="15" t="inlineStr"/>
      <c r="H22" s="15" t="inlineStr"/>
      <c r="I22" s="33" t="inlineStr">
        <is>
          <t>X</t>
        </is>
      </c>
      <c r="J22" s="15" t="inlineStr"/>
      <c r="K22" s="33" t="inlineStr">
        <is>
          <t>X</t>
        </is>
      </c>
      <c r="L22" s="15">
        <f>COUNTIF(C22:K22,"X")</f>
        <v/>
      </c>
    </row>
    <row r="23">
      <c r="A23" s="28">
        <f>'Authority Index'!A24</f>
        <v/>
      </c>
      <c r="B23" s="29">
        <f>'Authority Index'!C24</f>
        <v/>
      </c>
      <c r="C23" s="14" t="inlineStr"/>
      <c r="D23" s="14" t="inlineStr"/>
      <c r="E23" s="14" t="inlineStr"/>
      <c r="F23" s="14" t="inlineStr"/>
      <c r="G23" s="14" t="inlineStr"/>
      <c r="H23" s="14" t="inlineStr"/>
      <c r="I23" s="34" t="inlineStr">
        <is>
          <t>X</t>
        </is>
      </c>
      <c r="J23" s="14" t="inlineStr"/>
      <c r="K23" s="34" t="inlineStr">
        <is>
          <t>X</t>
        </is>
      </c>
      <c r="L23" s="14">
        <f>COUNTIF(C23:K23,"X")</f>
        <v/>
      </c>
    </row>
    <row r="24">
      <c r="A24" s="25">
        <f>'Authority Index'!A25</f>
        <v/>
      </c>
      <c r="B24" s="26">
        <f>'Authority Index'!C25</f>
        <v/>
      </c>
      <c r="C24" s="15" t="inlineStr"/>
      <c r="D24" s="15" t="inlineStr"/>
      <c r="E24" s="15" t="inlineStr"/>
      <c r="F24" s="15" t="inlineStr"/>
      <c r="G24" s="15" t="inlineStr"/>
      <c r="H24" s="15" t="inlineStr"/>
      <c r="I24" s="33" t="inlineStr">
        <is>
          <t>X</t>
        </is>
      </c>
      <c r="J24" s="15" t="inlineStr"/>
      <c r="K24" s="15" t="inlineStr"/>
      <c r="L24" s="15">
        <f>COUNTIF(C24:K24,"X")</f>
        <v/>
      </c>
    </row>
    <row r="25">
      <c r="A25" s="28">
        <f>'Authority Index'!A26</f>
        <v/>
      </c>
      <c r="B25" s="29">
        <f>'Authority Index'!C26</f>
        <v/>
      </c>
      <c r="C25" s="14" t="inlineStr"/>
      <c r="D25" s="14" t="inlineStr"/>
      <c r="E25" s="14" t="inlineStr"/>
      <c r="F25" s="14" t="inlineStr"/>
      <c r="G25" s="14" t="inlineStr"/>
      <c r="H25" s="14" t="inlineStr"/>
      <c r="I25" s="34" t="inlineStr">
        <is>
          <t>X</t>
        </is>
      </c>
      <c r="J25" s="14" t="inlineStr"/>
      <c r="K25" s="34" t="inlineStr">
        <is>
          <t>X</t>
        </is>
      </c>
      <c r="L25" s="14">
        <f>COUNTIF(C25:K25,"X")</f>
        <v/>
      </c>
    </row>
    <row r="26">
      <c r="A26" s="25">
        <f>'Authority Index'!A27</f>
        <v/>
      </c>
      <c r="B26" s="26">
        <f>'Authority Index'!C27</f>
        <v/>
      </c>
      <c r="C26" s="15" t="inlineStr"/>
      <c r="D26" s="15" t="inlineStr"/>
      <c r="E26" s="15" t="inlineStr"/>
      <c r="F26" s="15" t="inlineStr"/>
      <c r="G26" s="15" t="inlineStr"/>
      <c r="H26" s="15" t="inlineStr"/>
      <c r="I26" s="33" t="inlineStr">
        <is>
          <t>X</t>
        </is>
      </c>
      <c r="J26" s="15" t="inlineStr"/>
      <c r="K26" s="15" t="inlineStr"/>
      <c r="L26" s="15">
        <f>COUNTIF(C26:K26,"X")</f>
        <v/>
      </c>
    </row>
    <row r="27">
      <c r="A27" s="28">
        <f>'Authority Index'!A28</f>
        <v/>
      </c>
      <c r="B27" s="29">
        <f>'Authority Index'!C28</f>
        <v/>
      </c>
      <c r="C27" s="14" t="inlineStr"/>
      <c r="D27" s="14" t="inlineStr"/>
      <c r="E27" s="14" t="inlineStr"/>
      <c r="F27" s="14" t="inlineStr"/>
      <c r="G27" s="14" t="inlineStr"/>
      <c r="H27" s="14" t="inlineStr"/>
      <c r="I27" s="34" t="inlineStr">
        <is>
          <t>X</t>
        </is>
      </c>
      <c r="J27" s="14" t="inlineStr"/>
      <c r="K27" s="14" t="inlineStr"/>
      <c r="L27" s="14">
        <f>COUNTIF(C27:K27,"X")</f>
        <v/>
      </c>
    </row>
    <row r="28">
      <c r="A28" s="25">
        <f>'Authority Index'!A29</f>
        <v/>
      </c>
      <c r="B28" s="26">
        <f>'Authority Index'!C29</f>
        <v/>
      </c>
      <c r="C28" s="15" t="inlineStr"/>
      <c r="D28" s="15" t="inlineStr"/>
      <c r="E28" s="15" t="inlineStr"/>
      <c r="F28" s="15" t="inlineStr"/>
      <c r="G28" s="15" t="inlineStr"/>
      <c r="H28" s="15" t="inlineStr"/>
      <c r="I28" s="33" t="inlineStr">
        <is>
          <t>X</t>
        </is>
      </c>
      <c r="J28" s="33" t="inlineStr">
        <is>
          <t>X</t>
        </is>
      </c>
      <c r="K28" s="33" t="inlineStr">
        <is>
          <t>X</t>
        </is>
      </c>
      <c r="L28" s="15">
        <f>COUNTIF(C28:K28,"X")</f>
        <v/>
      </c>
    </row>
    <row r="29">
      <c r="A29" s="28">
        <f>'Authority Index'!A30</f>
        <v/>
      </c>
      <c r="B29" s="29">
        <f>'Authority Index'!C30</f>
        <v/>
      </c>
      <c r="C29" s="34" t="inlineStr">
        <is>
          <t>X</t>
        </is>
      </c>
      <c r="D29" s="34" t="inlineStr">
        <is>
          <t>X</t>
        </is>
      </c>
      <c r="E29" s="14" t="inlineStr"/>
      <c r="F29" s="34" t="inlineStr">
        <is>
          <t>X</t>
        </is>
      </c>
      <c r="G29" s="14" t="inlineStr"/>
      <c r="H29" s="14" t="inlineStr"/>
      <c r="I29" s="14" t="inlineStr"/>
      <c r="J29" s="14" t="inlineStr"/>
      <c r="K29" s="14" t="inlineStr"/>
      <c r="L29" s="14">
        <f>COUNTIF(C29:K29,"X")</f>
        <v/>
      </c>
    </row>
    <row r="30">
      <c r="A30" s="25">
        <f>'Authority Index'!A31</f>
        <v/>
      </c>
      <c r="B30" s="26">
        <f>'Authority Index'!C31</f>
        <v/>
      </c>
      <c r="C30" s="15" t="inlineStr"/>
      <c r="D30" s="15" t="inlineStr"/>
      <c r="E30" s="33" t="inlineStr">
        <is>
          <t>X</t>
        </is>
      </c>
      <c r="F30" s="33" t="inlineStr">
        <is>
          <t>X</t>
        </is>
      </c>
      <c r="G30" s="33" t="inlineStr">
        <is>
          <t>X</t>
        </is>
      </c>
      <c r="H30" s="15" t="inlineStr"/>
      <c r="I30" s="33" t="inlineStr">
        <is>
          <t>X</t>
        </is>
      </c>
      <c r="J30" s="15" t="inlineStr"/>
      <c r="K30" s="15" t="inlineStr"/>
      <c r="L30" s="15">
        <f>COUNTIF(C30:K30,"X")</f>
        <v/>
      </c>
    </row>
    <row r="31">
      <c r="A31" s="28">
        <f>'Authority Index'!A32</f>
        <v/>
      </c>
      <c r="B31" s="29">
        <f>'Authority Index'!C32</f>
        <v/>
      </c>
      <c r="C31" s="14" t="inlineStr"/>
      <c r="D31" s="34" t="inlineStr">
        <is>
          <t>X</t>
        </is>
      </c>
      <c r="E31" s="14" t="inlineStr"/>
      <c r="F31" s="14" t="inlineStr"/>
      <c r="G31" s="14" t="inlineStr"/>
      <c r="H31" s="34" t="inlineStr">
        <is>
          <t>X</t>
        </is>
      </c>
      <c r="I31" s="14" t="inlineStr"/>
      <c r="J31" s="14" t="inlineStr"/>
      <c r="K31" s="14" t="inlineStr"/>
      <c r="L31" s="14">
        <f>COUNTIF(C31:K31,"X")</f>
        <v/>
      </c>
    </row>
    <row r="32">
      <c r="A32" s="25">
        <f>'Authority Index'!A33</f>
        <v/>
      </c>
      <c r="B32" s="26">
        <f>'Authority Index'!C33</f>
        <v/>
      </c>
      <c r="C32" s="15" t="inlineStr"/>
      <c r="D32" s="15" t="inlineStr"/>
      <c r="E32" s="33" t="inlineStr">
        <is>
          <t>X</t>
        </is>
      </c>
      <c r="F32" s="15" t="inlineStr"/>
      <c r="G32" s="33" t="inlineStr">
        <is>
          <t>X</t>
        </is>
      </c>
      <c r="H32" s="15" t="inlineStr"/>
      <c r="I32" s="15" t="inlineStr"/>
      <c r="J32" s="15" t="inlineStr"/>
      <c r="K32" s="15" t="inlineStr"/>
      <c r="L32" s="15">
        <f>COUNTIF(C32:K32,"X")</f>
        <v/>
      </c>
    </row>
    <row r="33">
      <c r="A33" s="28">
        <f>'Authority Index'!A34</f>
        <v/>
      </c>
      <c r="B33" s="29">
        <f>'Authority Index'!C34</f>
        <v/>
      </c>
      <c r="C33" s="14" t="inlineStr"/>
      <c r="D33" s="14" t="inlineStr"/>
      <c r="E33" s="34" t="inlineStr">
        <is>
          <t>X</t>
        </is>
      </c>
      <c r="F33" s="14" t="inlineStr"/>
      <c r="G33" s="34" t="inlineStr">
        <is>
          <t>X</t>
        </is>
      </c>
      <c r="H33" s="14" t="inlineStr"/>
      <c r="I33" s="14" t="inlineStr"/>
      <c r="J33" s="14" t="inlineStr"/>
      <c r="K33" s="14" t="inlineStr"/>
      <c r="L33" s="14">
        <f>COUNTIF(C33:K33,"X")</f>
        <v/>
      </c>
    </row>
    <row r="34">
      <c r="A34" s="25">
        <f>'Authority Index'!A35</f>
        <v/>
      </c>
      <c r="B34" s="26">
        <f>'Authority Index'!C35</f>
        <v/>
      </c>
      <c r="C34" s="15" t="inlineStr"/>
      <c r="D34" s="15" t="inlineStr"/>
      <c r="E34" s="15" t="inlineStr"/>
      <c r="F34" s="15" t="inlineStr"/>
      <c r="G34" s="15" t="inlineStr"/>
      <c r="H34" s="33" t="inlineStr">
        <is>
          <t>X</t>
        </is>
      </c>
      <c r="I34" s="15" t="inlineStr"/>
      <c r="J34" s="15" t="inlineStr"/>
      <c r="K34" s="15" t="inlineStr"/>
      <c r="L34" s="15">
        <f>COUNTIF(C34:K34,"X")</f>
        <v/>
      </c>
    </row>
    <row r="35">
      <c r="A35" s="28">
        <f>'Authority Index'!A36</f>
        <v/>
      </c>
      <c r="B35" s="29">
        <f>'Authority Index'!C36</f>
        <v/>
      </c>
      <c r="C35" s="14" t="inlineStr"/>
      <c r="D35" s="14" t="inlineStr"/>
      <c r="E35" s="14" t="inlineStr"/>
      <c r="F35" s="14" t="inlineStr"/>
      <c r="G35" s="14" t="inlineStr"/>
      <c r="H35" s="34" t="inlineStr">
        <is>
          <t>X</t>
        </is>
      </c>
      <c r="I35" s="14" t="inlineStr"/>
      <c r="J35" s="14" t="inlineStr"/>
      <c r="K35" s="14" t="inlineStr"/>
      <c r="L35" s="14">
        <f>COUNTIF(C35:K35,"X")</f>
        <v/>
      </c>
    </row>
    <row r="36">
      <c r="A36" s="25">
        <f>'Authority Index'!A37</f>
        <v/>
      </c>
      <c r="B36" s="26">
        <f>'Authority Index'!C37</f>
        <v/>
      </c>
      <c r="C36" s="15" t="inlineStr"/>
      <c r="D36" s="15" t="inlineStr"/>
      <c r="E36" s="15" t="inlineStr"/>
      <c r="F36" s="15" t="inlineStr"/>
      <c r="G36" s="15" t="inlineStr"/>
      <c r="H36" s="33" t="inlineStr">
        <is>
          <t>X</t>
        </is>
      </c>
      <c r="I36" s="15" t="inlineStr"/>
      <c r="J36" s="15" t="inlineStr"/>
      <c r="K36" s="15" t="inlineStr"/>
      <c r="L36" s="15">
        <f>COUNTIF(C36:K36,"X")</f>
        <v/>
      </c>
    </row>
    <row r="37">
      <c r="A37" s="28">
        <f>'Authority Index'!A38</f>
        <v/>
      </c>
      <c r="B37" s="29">
        <f>'Authority Index'!C38</f>
        <v/>
      </c>
      <c r="C37" s="14" t="inlineStr"/>
      <c r="D37" s="34" t="inlineStr">
        <is>
          <t>X</t>
        </is>
      </c>
      <c r="E37" s="14" t="inlineStr"/>
      <c r="F37" s="14" t="inlineStr"/>
      <c r="G37" s="14" t="inlineStr"/>
      <c r="H37" s="14" t="inlineStr"/>
      <c r="I37" s="14" t="inlineStr"/>
      <c r="J37" s="14" t="inlineStr"/>
      <c r="K37" s="14" t="inlineStr"/>
      <c r="L37" s="14">
        <f>COUNTIF(C37:K37,"X")</f>
        <v/>
      </c>
    </row>
    <row r="38">
      <c r="A38" s="25">
        <f>'Authority Index'!A39</f>
        <v/>
      </c>
      <c r="B38" s="26">
        <f>'Authority Index'!C39</f>
        <v/>
      </c>
      <c r="C38" s="15" t="inlineStr"/>
      <c r="D38" s="33" t="inlineStr">
        <is>
          <t>X</t>
        </is>
      </c>
      <c r="E38" s="15" t="inlineStr"/>
      <c r="F38" s="15" t="inlineStr"/>
      <c r="G38" s="15" t="inlineStr"/>
      <c r="H38" s="15" t="inlineStr"/>
      <c r="I38" s="15" t="inlineStr"/>
      <c r="J38" s="15" t="inlineStr"/>
      <c r="K38" s="15" t="inlineStr"/>
      <c r="L38" s="15">
        <f>COUNTIF(C38:K38,"X")</f>
        <v/>
      </c>
    </row>
    <row r="39">
      <c r="A39" s="28">
        <f>'Authority Index'!A40</f>
        <v/>
      </c>
      <c r="B39" s="29">
        <f>'Authority Index'!C40</f>
        <v/>
      </c>
      <c r="C39" s="34" t="inlineStr">
        <is>
          <t>X</t>
        </is>
      </c>
      <c r="D39" s="34" t="inlineStr">
        <is>
          <t>X</t>
        </is>
      </c>
      <c r="E39" s="14" t="inlineStr"/>
      <c r="F39" s="14" t="inlineStr"/>
      <c r="G39" s="14" t="inlineStr"/>
      <c r="H39" s="14" t="inlineStr"/>
      <c r="I39" s="14" t="inlineStr"/>
      <c r="J39" s="14" t="inlineStr"/>
      <c r="K39" s="14" t="inlineStr"/>
      <c r="L39" s="14">
        <f>COUNTIF(C39:K39,"X")</f>
        <v/>
      </c>
    </row>
    <row r="40">
      <c r="A40" s="25">
        <f>'Authority Index'!A41</f>
        <v/>
      </c>
      <c r="B40" s="26">
        <f>'Authority Index'!C41</f>
        <v/>
      </c>
      <c r="C40" s="15" t="inlineStr"/>
      <c r="D40" s="15" t="inlineStr"/>
      <c r="E40" s="33" t="inlineStr">
        <is>
          <t>X</t>
        </is>
      </c>
      <c r="F40" s="15" t="inlineStr"/>
      <c r="G40" s="15" t="inlineStr"/>
      <c r="H40" s="15" t="inlineStr"/>
      <c r="I40" s="33" t="inlineStr">
        <is>
          <t>X</t>
        </is>
      </c>
      <c r="J40" s="15" t="inlineStr"/>
      <c r="K40" s="15" t="inlineStr"/>
      <c r="L40" s="15">
        <f>COUNTIF(C40:K40,"X")</f>
        <v/>
      </c>
    </row>
    <row r="41">
      <c r="A41" s="28">
        <f>'Authority Index'!A42</f>
        <v/>
      </c>
      <c r="B41" s="29">
        <f>'Authority Index'!C42</f>
        <v/>
      </c>
      <c r="C41" s="14" t="inlineStr"/>
      <c r="D41" s="14" t="inlineStr"/>
      <c r="E41" s="34" t="inlineStr">
        <is>
          <t>X</t>
        </is>
      </c>
      <c r="F41" s="14" t="inlineStr"/>
      <c r="G41" s="14" t="inlineStr"/>
      <c r="H41" s="14" t="inlineStr"/>
      <c r="I41" s="34" t="inlineStr">
        <is>
          <t>X</t>
        </is>
      </c>
      <c r="J41" s="14" t="inlineStr"/>
      <c r="K41" s="14" t="inlineStr"/>
      <c r="L41" s="14">
        <f>COUNTIF(C41:K41,"X")</f>
        <v/>
      </c>
    </row>
    <row r="42">
      <c r="A42" s="25">
        <f>'Authority Index'!A43</f>
        <v/>
      </c>
      <c r="B42" s="26">
        <f>'Authority Index'!C43</f>
        <v/>
      </c>
      <c r="C42" s="15" t="inlineStr"/>
      <c r="D42" s="15" t="inlineStr"/>
      <c r="E42" s="33" t="inlineStr">
        <is>
          <t>X</t>
        </is>
      </c>
      <c r="F42" s="15" t="inlineStr"/>
      <c r="G42" s="15" t="inlineStr"/>
      <c r="H42" s="15" t="inlineStr"/>
      <c r="I42" s="33" t="inlineStr">
        <is>
          <t>X</t>
        </is>
      </c>
      <c r="J42" s="15" t="inlineStr"/>
      <c r="K42" s="15" t="inlineStr"/>
      <c r="L42" s="15">
        <f>COUNTIF(C42:K42,"X")</f>
        <v/>
      </c>
    </row>
    <row r="43">
      <c r="A43" s="28">
        <f>'Authority Index'!A44</f>
        <v/>
      </c>
      <c r="B43" s="29">
        <f>'Authority Index'!C44</f>
        <v/>
      </c>
      <c r="C43" s="14" t="inlineStr"/>
      <c r="D43" s="14" t="inlineStr"/>
      <c r="E43" s="14" t="inlineStr"/>
      <c r="F43" s="14" t="inlineStr"/>
      <c r="G43" s="34" t="inlineStr">
        <is>
          <t>X</t>
        </is>
      </c>
      <c r="H43" s="14" t="inlineStr"/>
      <c r="I43" s="14" t="inlineStr"/>
      <c r="J43" s="14" t="inlineStr"/>
      <c r="K43" s="14" t="inlineStr"/>
      <c r="L43" s="14">
        <f>COUNTIF(C43:K43,"X")</f>
        <v/>
      </c>
    </row>
    <row r="44">
      <c r="A44" s="25">
        <f>'Authority Index'!A45</f>
        <v/>
      </c>
      <c r="B44" s="26">
        <f>'Authority Index'!C45</f>
        <v/>
      </c>
      <c r="C44" s="33" t="inlineStr">
        <is>
          <t>X</t>
        </is>
      </c>
      <c r="D44" s="15" t="inlineStr"/>
      <c r="E44" s="15" t="inlineStr"/>
      <c r="F44" s="15" t="inlineStr"/>
      <c r="G44" s="15" t="inlineStr"/>
      <c r="H44" s="15" t="inlineStr"/>
      <c r="I44" s="15" t="inlineStr"/>
      <c r="J44" s="33" t="inlineStr">
        <is>
          <t>X</t>
        </is>
      </c>
      <c r="K44" s="15" t="inlineStr"/>
      <c r="L44" s="15">
        <f>COUNTIF(C44:K44,"X")</f>
        <v/>
      </c>
    </row>
    <row r="45">
      <c r="A45" s="28">
        <f>'Authority Index'!A46</f>
        <v/>
      </c>
      <c r="B45" s="29">
        <f>'Authority Index'!C46</f>
        <v/>
      </c>
      <c r="C45" s="14" t="inlineStr"/>
      <c r="D45" s="14" t="inlineStr"/>
      <c r="E45" s="14" t="inlineStr"/>
      <c r="F45" s="14" t="inlineStr"/>
      <c r="G45" s="14" t="inlineStr"/>
      <c r="H45" s="14" t="inlineStr"/>
      <c r="I45" s="14" t="inlineStr"/>
      <c r="J45" s="34" t="inlineStr">
        <is>
          <t>X</t>
        </is>
      </c>
      <c r="K45" s="14" t="inlineStr"/>
      <c r="L45" s="14">
        <f>COUNTIF(C45:K45,"X")</f>
        <v/>
      </c>
    </row>
    <row r="46">
      <c r="A46" s="25">
        <f>'Authority Index'!A47</f>
        <v/>
      </c>
      <c r="B46" s="26">
        <f>'Authority Index'!C47</f>
        <v/>
      </c>
      <c r="C46" s="15" t="inlineStr"/>
      <c r="D46" s="15" t="inlineStr"/>
      <c r="E46" s="15" t="inlineStr"/>
      <c r="F46" s="15" t="inlineStr"/>
      <c r="G46" s="15" t="inlineStr"/>
      <c r="H46" s="15" t="inlineStr"/>
      <c r="I46" s="15" t="inlineStr"/>
      <c r="J46" s="33" t="inlineStr">
        <is>
          <t>X</t>
        </is>
      </c>
      <c r="K46" s="15" t="inlineStr"/>
      <c r="L46" s="15">
        <f>COUNTIF(C46:K46,"X")</f>
        <v/>
      </c>
    </row>
    <row r="47">
      <c r="A47" s="28">
        <f>'Authority Index'!A48</f>
        <v/>
      </c>
      <c r="B47" s="29">
        <f>'Authority Index'!C48</f>
        <v/>
      </c>
      <c r="C47" s="14" t="inlineStr"/>
      <c r="D47" s="14" t="inlineStr"/>
      <c r="E47" s="14" t="inlineStr"/>
      <c r="F47" s="14" t="inlineStr"/>
      <c r="G47" s="14" t="inlineStr"/>
      <c r="H47" s="14" t="inlineStr"/>
      <c r="I47" s="34" t="inlineStr">
        <is>
          <t>X</t>
        </is>
      </c>
      <c r="J47" s="34" t="inlineStr">
        <is>
          <t>X</t>
        </is>
      </c>
      <c r="K47" s="14" t="inlineStr"/>
      <c r="L47" s="14">
        <f>COUNTIF(C47:K47,"X")</f>
        <v/>
      </c>
    </row>
    <row r="48">
      <c r="A48" s="25">
        <f>'Authority Index'!A49</f>
        <v/>
      </c>
      <c r="B48" s="26">
        <f>'Authority Index'!C49</f>
        <v/>
      </c>
      <c r="C48" s="15" t="inlineStr"/>
      <c r="D48" s="15" t="inlineStr"/>
      <c r="E48" s="15" t="inlineStr"/>
      <c r="F48" s="15" t="inlineStr"/>
      <c r="G48" s="15" t="inlineStr"/>
      <c r="H48" s="15" t="inlineStr"/>
      <c r="I48" s="15" t="inlineStr"/>
      <c r="J48" s="33" t="inlineStr">
        <is>
          <t>X</t>
        </is>
      </c>
      <c r="K48" s="33" t="inlineStr">
        <is>
          <t>X</t>
        </is>
      </c>
      <c r="L48" s="15">
        <f>COUNTIF(C48:K48,"X")</f>
        <v/>
      </c>
    </row>
    <row r="49">
      <c r="A49" s="28">
        <f>'Authority Index'!A50</f>
        <v/>
      </c>
      <c r="B49" s="29">
        <f>'Authority Index'!C50</f>
        <v/>
      </c>
      <c r="C49" s="14" t="inlineStr"/>
      <c r="D49" s="14" t="inlineStr"/>
      <c r="E49" s="14" t="inlineStr"/>
      <c r="F49" s="14" t="inlineStr"/>
      <c r="G49" s="14" t="inlineStr"/>
      <c r="H49" s="14" t="inlineStr"/>
      <c r="I49" s="14" t="inlineStr"/>
      <c r="J49" s="34" t="inlineStr">
        <is>
          <t>X</t>
        </is>
      </c>
      <c r="K49" s="14" t="inlineStr"/>
      <c r="L49" s="14">
        <f>COUNTIF(C49:K49,"X")</f>
        <v/>
      </c>
    </row>
    <row r="50">
      <c r="A50" s="25">
        <f>'Authority Index'!A51</f>
        <v/>
      </c>
      <c r="B50" s="26">
        <f>'Authority Index'!C51</f>
        <v/>
      </c>
      <c r="C50" s="15" t="inlineStr"/>
      <c r="D50" s="15" t="inlineStr"/>
      <c r="E50" s="15" t="inlineStr"/>
      <c r="F50" s="15" t="inlineStr"/>
      <c r="G50" s="15" t="inlineStr"/>
      <c r="H50" s="15" t="inlineStr"/>
      <c r="I50" s="15" t="inlineStr"/>
      <c r="J50" s="33" t="inlineStr">
        <is>
          <t>X</t>
        </is>
      </c>
      <c r="K50" s="15" t="inlineStr"/>
      <c r="L50" s="15">
        <f>COUNTIF(C50:K50,"X")</f>
        <v/>
      </c>
    </row>
    <row r="51">
      <c r="A51" s="28">
        <f>'Authority Index'!A52</f>
        <v/>
      </c>
      <c r="B51" s="29">
        <f>'Authority Index'!C52</f>
        <v/>
      </c>
      <c r="C51" s="14" t="inlineStr"/>
      <c r="D51" s="14" t="inlineStr"/>
      <c r="E51" s="14" t="inlineStr"/>
      <c r="F51" s="14" t="inlineStr"/>
      <c r="G51" s="14" t="inlineStr"/>
      <c r="H51" s="14" t="inlineStr"/>
      <c r="I51" s="14" t="inlineStr"/>
      <c r="J51" s="34" t="inlineStr">
        <is>
          <t>X</t>
        </is>
      </c>
      <c r="K51" s="14" t="inlineStr"/>
      <c r="L51" s="14">
        <f>COUNTIF(C51:K51,"X")</f>
        <v/>
      </c>
    </row>
    <row r="52">
      <c r="A52" s="25">
        <f>'Authority Index'!A53</f>
        <v/>
      </c>
      <c r="B52" s="26">
        <f>'Authority Index'!C53</f>
        <v/>
      </c>
      <c r="C52" s="15" t="inlineStr"/>
      <c r="D52" s="15" t="inlineStr"/>
      <c r="E52" s="15" t="inlineStr"/>
      <c r="F52" s="15" t="inlineStr"/>
      <c r="G52" s="15" t="inlineStr"/>
      <c r="H52" s="15" t="inlineStr"/>
      <c r="I52" s="15" t="inlineStr"/>
      <c r="J52" s="33" t="inlineStr">
        <is>
          <t>X</t>
        </is>
      </c>
      <c r="K52" s="15" t="inlineStr"/>
      <c r="L52" s="15">
        <f>COUNTIF(C52:K52,"X")</f>
        <v/>
      </c>
    </row>
    <row r="53">
      <c r="A53" s="28">
        <f>'Authority Index'!A54</f>
        <v/>
      </c>
      <c r="B53" s="29">
        <f>'Authority Index'!C54</f>
        <v/>
      </c>
      <c r="C53" s="34" t="inlineStr">
        <is>
          <t>X</t>
        </is>
      </c>
      <c r="D53" s="34" t="inlineStr">
        <is>
          <t>X</t>
        </is>
      </c>
      <c r="E53" s="14" t="inlineStr"/>
      <c r="F53" s="34" t="inlineStr">
        <is>
          <t>X</t>
        </is>
      </c>
      <c r="G53" s="14" t="inlineStr"/>
      <c r="H53" s="14" t="inlineStr"/>
      <c r="I53" s="14" t="inlineStr"/>
      <c r="J53" s="34" t="inlineStr">
        <is>
          <t>X</t>
        </is>
      </c>
      <c r="K53" s="14" t="inlineStr"/>
      <c r="L53" s="14">
        <f>COUNTIF(C53:K53,"X")</f>
        <v/>
      </c>
    </row>
    <row r="54">
      <c r="A54" s="25">
        <f>'Authority Index'!A55</f>
        <v/>
      </c>
      <c r="B54" s="26">
        <f>'Authority Index'!C55</f>
        <v/>
      </c>
      <c r="C54" s="15" t="inlineStr"/>
      <c r="D54" s="15" t="inlineStr"/>
      <c r="E54" s="33" t="inlineStr">
        <is>
          <t>X</t>
        </is>
      </c>
      <c r="F54" s="15" t="inlineStr"/>
      <c r="G54" s="15" t="inlineStr"/>
      <c r="H54" s="33" t="inlineStr">
        <is>
          <t>X</t>
        </is>
      </c>
      <c r="I54" s="15" t="inlineStr"/>
      <c r="J54" s="15" t="inlineStr"/>
      <c r="K54" s="15" t="inlineStr"/>
      <c r="L54" s="15">
        <f>COUNTIF(C54:K54,"X")</f>
        <v/>
      </c>
    </row>
    <row r="55">
      <c r="A55" s="28">
        <f>'Authority Index'!A56</f>
        <v/>
      </c>
      <c r="B55" s="29">
        <f>'Authority Index'!C56</f>
        <v/>
      </c>
      <c r="C55" s="14" t="inlineStr"/>
      <c r="D55" s="14" t="inlineStr"/>
      <c r="E55" s="34" t="inlineStr">
        <is>
          <t>X</t>
        </is>
      </c>
      <c r="F55" s="14" t="inlineStr"/>
      <c r="G55" s="34" t="inlineStr">
        <is>
          <t>X</t>
        </is>
      </c>
      <c r="H55" s="34" t="inlineStr">
        <is>
          <t>X</t>
        </is>
      </c>
      <c r="I55" s="14" t="inlineStr"/>
      <c r="J55" s="14" t="inlineStr"/>
      <c r="K55" s="14" t="inlineStr"/>
      <c r="L55" s="14">
        <f>COUNTIF(C55:K55,"X")</f>
        <v/>
      </c>
    </row>
    <row r="56">
      <c r="A56" s="25">
        <f>'Authority Index'!A57</f>
        <v/>
      </c>
      <c r="B56" s="26">
        <f>'Authority Index'!C57</f>
        <v/>
      </c>
      <c r="C56" s="15" t="inlineStr"/>
      <c r="D56" s="15" t="inlineStr"/>
      <c r="E56" s="15" t="inlineStr"/>
      <c r="F56" s="15" t="inlineStr"/>
      <c r="G56" s="33" t="inlineStr">
        <is>
          <t>X</t>
        </is>
      </c>
      <c r="H56" s="15" t="inlineStr"/>
      <c r="I56" s="15" t="inlineStr"/>
      <c r="J56" s="15" t="inlineStr"/>
      <c r="K56" s="15" t="inlineStr"/>
      <c r="L56" s="15">
        <f>COUNTIF(C56:K56,"X")</f>
        <v/>
      </c>
    </row>
    <row r="57">
      <c r="A57" s="28">
        <f>'Authority Index'!A58</f>
        <v/>
      </c>
      <c r="B57" s="29">
        <f>'Authority Index'!C58</f>
        <v/>
      </c>
      <c r="C57" s="14" t="inlineStr"/>
      <c r="D57" s="14" t="inlineStr"/>
      <c r="E57" s="14" t="inlineStr"/>
      <c r="F57" s="14" t="inlineStr"/>
      <c r="G57" s="14" t="inlineStr"/>
      <c r="H57" s="34" t="inlineStr">
        <is>
          <t>X</t>
        </is>
      </c>
      <c r="I57" s="14" t="inlineStr"/>
      <c r="J57" s="14" t="inlineStr"/>
      <c r="K57" s="14" t="inlineStr"/>
      <c r="L57" s="14">
        <f>COUNTIF(C57:K57,"X")</f>
        <v/>
      </c>
    </row>
    <row r="58">
      <c r="A58" s="25">
        <f>'Authority Index'!A59</f>
        <v/>
      </c>
      <c r="B58" s="26">
        <f>'Authority Index'!C59</f>
        <v/>
      </c>
      <c r="C58" s="15" t="inlineStr"/>
      <c r="D58" s="15" t="inlineStr"/>
      <c r="E58" s="33" t="inlineStr">
        <is>
          <t>X</t>
        </is>
      </c>
      <c r="F58" s="15" t="inlineStr"/>
      <c r="G58" s="15" t="inlineStr"/>
      <c r="H58" s="33" t="inlineStr">
        <is>
          <t>X</t>
        </is>
      </c>
      <c r="I58" s="15" t="inlineStr"/>
      <c r="J58" s="15" t="inlineStr"/>
      <c r="K58" s="15" t="inlineStr"/>
      <c r="L58" s="15">
        <f>COUNTIF(C58:K58,"X")</f>
        <v/>
      </c>
    </row>
    <row r="59">
      <c r="A59" s="28">
        <f>'Authority Index'!A60</f>
        <v/>
      </c>
      <c r="B59" s="29">
        <f>'Authority Index'!C60</f>
        <v/>
      </c>
      <c r="C59" s="14" t="inlineStr"/>
      <c r="D59" s="14" t="inlineStr"/>
      <c r="E59" s="14" t="inlineStr"/>
      <c r="F59" s="14" t="inlineStr"/>
      <c r="G59" s="34" t="inlineStr">
        <is>
          <t>X</t>
        </is>
      </c>
      <c r="H59" s="34" t="inlineStr">
        <is>
          <t>X</t>
        </is>
      </c>
      <c r="I59" s="14" t="inlineStr"/>
      <c r="J59" s="14" t="inlineStr"/>
      <c r="K59" s="14" t="inlineStr"/>
      <c r="L59" s="14">
        <f>COUNTIF(C59:K59,"X")</f>
        <v/>
      </c>
    </row>
    <row r="60">
      <c r="A60" s="25">
        <f>'Authority Index'!A61</f>
        <v/>
      </c>
      <c r="B60" s="26">
        <f>'Authority Index'!C61</f>
        <v/>
      </c>
      <c r="C60" s="15" t="inlineStr"/>
      <c r="D60" s="15" t="inlineStr"/>
      <c r="E60" s="15" t="inlineStr"/>
      <c r="F60" s="15" t="inlineStr"/>
      <c r="G60" s="15" t="inlineStr"/>
      <c r="H60" s="15" t="inlineStr"/>
      <c r="I60" s="15" t="inlineStr"/>
      <c r="J60" s="33" t="inlineStr">
        <is>
          <t>X</t>
        </is>
      </c>
      <c r="K60" s="15" t="inlineStr"/>
      <c r="L60" s="15">
        <f>COUNTIF(C60:K60,"X")</f>
        <v/>
      </c>
    </row>
    <row r="61">
      <c r="A61" s="28">
        <f>'Authority Index'!A62</f>
        <v/>
      </c>
      <c r="B61" s="29">
        <f>'Authority Index'!C62</f>
        <v/>
      </c>
      <c r="C61" s="14" t="inlineStr"/>
      <c r="D61" s="14" t="inlineStr"/>
      <c r="E61" s="14" t="inlineStr"/>
      <c r="F61" s="14" t="inlineStr"/>
      <c r="G61" s="14" t="inlineStr"/>
      <c r="H61" s="14" t="inlineStr"/>
      <c r="I61" s="14" t="inlineStr"/>
      <c r="J61" s="34" t="inlineStr">
        <is>
          <t>X</t>
        </is>
      </c>
      <c r="K61" s="14" t="inlineStr"/>
      <c r="L61" s="14">
        <f>COUNTIF(C61:K61,"X")</f>
        <v/>
      </c>
    </row>
    <row r="62">
      <c r="A62" s="25">
        <f>'Authority Index'!A63</f>
        <v/>
      </c>
      <c r="B62" s="26">
        <f>'Authority Index'!C63</f>
        <v/>
      </c>
      <c r="C62" s="15" t="inlineStr"/>
      <c r="D62" s="15" t="inlineStr"/>
      <c r="E62" s="15" t="inlineStr"/>
      <c r="F62" s="15" t="inlineStr"/>
      <c r="G62" s="15" t="inlineStr"/>
      <c r="H62" s="15" t="inlineStr"/>
      <c r="I62" s="15" t="inlineStr"/>
      <c r="J62" s="33" t="inlineStr">
        <is>
          <t>X</t>
        </is>
      </c>
      <c r="K62" s="15" t="inlineStr"/>
      <c r="L62" s="15">
        <f>COUNTIF(C62:K62,"X")</f>
        <v/>
      </c>
    </row>
    <row r="63">
      <c r="A63" s="28">
        <f>'Authority Index'!A64</f>
        <v/>
      </c>
      <c r="B63" s="29">
        <f>'Authority Index'!C64</f>
        <v/>
      </c>
      <c r="C63" s="14" t="inlineStr"/>
      <c r="D63" s="14" t="inlineStr"/>
      <c r="E63" s="14" t="inlineStr"/>
      <c r="F63" s="14" t="inlineStr"/>
      <c r="G63" s="14" t="inlineStr"/>
      <c r="H63" s="14" t="inlineStr"/>
      <c r="I63" s="34" t="inlineStr">
        <is>
          <t>X</t>
        </is>
      </c>
      <c r="J63" s="34" t="inlineStr">
        <is>
          <t>X</t>
        </is>
      </c>
      <c r="K63" s="14" t="inlineStr"/>
      <c r="L63" s="14">
        <f>COUNTIF(C63:K63,"X")</f>
        <v/>
      </c>
    </row>
    <row r="65">
      <c r="B65" s="20" t="inlineStr">
        <is>
          <t>CITATIONS PER FILING</t>
        </is>
      </c>
      <c r="C65" s="35">
        <f>COUNTIF(C4:C63,"X")</f>
        <v/>
      </c>
      <c r="D65" s="35">
        <f>COUNTIF(D4:D63,"X")</f>
        <v/>
      </c>
      <c r="E65" s="35">
        <f>COUNTIF(E4:E63,"X")</f>
        <v/>
      </c>
      <c r="F65" s="35">
        <f>COUNTIF(F4:F63,"X")</f>
        <v/>
      </c>
      <c r="G65" s="35">
        <f>COUNTIF(G4:G63,"X")</f>
        <v/>
      </c>
      <c r="H65" s="35">
        <f>COUNTIF(H4:H63,"X")</f>
        <v/>
      </c>
      <c r="I65" s="35">
        <f>COUNTIF(I4:I63,"X")</f>
        <v/>
      </c>
      <c r="J65" s="35">
        <f>COUNTIF(J4:J63,"X")</f>
        <v/>
      </c>
      <c r="K65" s="35">
        <f>COUNTIF(K4:K63,"X")</f>
        <v/>
      </c>
      <c r="L65" s="36">
        <f>SUM(L4:L63)</f>
        <v/>
      </c>
    </row>
  </sheetData>
  <autoFilter ref="A3:L63"/>
  <mergeCells count="1">
    <mergeCell ref="A1:L1"/>
  </mergeCells>
  <pageMargins left="0.75" right="0.75" top="1" bottom="1" header="0.5" footer="0.5"/>
</worksheet>
</file>

<file path=xl/worksheets/sheet4.xml><?xml version="1.0" encoding="utf-8"?>
<worksheet xmlns="http://schemas.openxmlformats.org/spreadsheetml/2006/main">
  <sheetPr>
    <tabColor rgb="00DC2626"/>
    <outlinePr summaryBelow="1" summaryRight="1"/>
    <pageSetUpPr/>
  </sheetPr>
  <dimension ref="A1:G41"/>
  <sheetViews>
    <sheetView workbookViewId="0">
      <pane ySplit="3" topLeftCell="A4" activePane="bottomLeft" state="frozen"/>
      <selection pane="bottomLeft" activeCell="A1" sqref="A1"/>
    </sheetView>
  </sheetViews>
  <sheetFormatPr baseColWidth="8" defaultRowHeight="15"/>
  <cols>
    <col width="12" customWidth="1" min="1" max="1"/>
    <col width="38" customWidth="1" min="2" max="2"/>
    <col width="22" customWidth="1" min="3" max="3"/>
    <col width="10" customWidth="1" min="4" max="4"/>
    <col width="10" customWidth="1" min="5" max="5"/>
    <col width="18" customWidth="1" min="6" max="6"/>
    <col width="14" customWidth="1" min="7" max="7"/>
  </cols>
  <sheetData>
    <row r="1">
      <c r="A1" s="24" t="inlineStr">
        <is>
          <t>Authority Chain Completeness Tracker</t>
        </is>
      </c>
    </row>
    <row r="3">
      <c r="A3" s="3" t="inlineStr">
        <is>
          <t>Chain ID</t>
        </is>
      </c>
      <c r="B3" s="3" t="inlineStr">
        <is>
          <t>Vehicle / Filing</t>
        </is>
      </c>
      <c r="C3" s="3" t="inlineStr">
        <is>
          <t>Required Authorities</t>
        </is>
      </c>
      <c r="D3" s="3" t="inlineStr">
        <is>
          <t>Found</t>
        </is>
      </c>
      <c r="E3" s="3" t="inlineStr">
        <is>
          <t>Missing</t>
        </is>
      </c>
      <c r="F3" s="3" t="inlineStr">
        <is>
          <t>Completeness %</t>
        </is>
      </c>
      <c r="G3" s="3" t="inlineStr">
        <is>
          <t>Status</t>
        </is>
      </c>
    </row>
    <row r="4">
      <c r="A4" s="12" t="inlineStr">
        <is>
          <t>CH-01</t>
        </is>
      </c>
      <c r="B4" s="10" t="inlineStr">
        <is>
          <t>JTC Complaint — Due Process</t>
        </is>
      </c>
      <c r="C4" s="12" t="n">
        <v>8</v>
      </c>
      <c r="D4" s="12" t="n">
        <v>7</v>
      </c>
      <c r="E4" s="15">
        <f>C4-D4</f>
        <v/>
      </c>
      <c r="F4" s="37">
        <f>IF(C4&gt;0,D4/C4,0)</f>
        <v/>
      </c>
      <c r="G4" s="15">
        <f>IF(F4=1,"COMPLETE",IF(F4&gt;=0.75,"STRONG","GAPS"))</f>
        <v/>
      </c>
    </row>
    <row r="5">
      <c r="A5" s="7" t="inlineStr">
        <is>
          <t>CH-02</t>
        </is>
      </c>
      <c r="B5" s="5" t="inlineStr">
        <is>
          <t>JTC Complaint — Bias Pattern</t>
        </is>
      </c>
      <c r="C5" s="7" t="n">
        <v>6</v>
      </c>
      <c r="D5" s="7" t="n">
        <v>6</v>
      </c>
      <c r="E5" s="14">
        <f>C5-D5</f>
        <v/>
      </c>
      <c r="F5" s="38">
        <f>IF(C5&gt;0,D5/C5,0)</f>
        <v/>
      </c>
      <c r="G5" s="14">
        <f>IF(F5=1,"COMPLETE",IF(F5&gt;=0.75,"STRONG","GAPS"))</f>
        <v/>
      </c>
    </row>
    <row r="6">
      <c r="A6" s="12" t="inlineStr">
        <is>
          <t>CH-03</t>
        </is>
      </c>
      <c r="B6" s="10" t="inlineStr">
        <is>
          <t>JTC Complaint — Parental Rights</t>
        </is>
      </c>
      <c r="C6" s="12" t="n">
        <v>7</v>
      </c>
      <c r="D6" s="12" t="n">
        <v>6</v>
      </c>
      <c r="E6" s="15">
        <f>C6-D6</f>
        <v/>
      </c>
      <c r="F6" s="37">
        <f>IF(C6&gt;0,D6/C6,0)</f>
        <v/>
      </c>
      <c r="G6" s="15">
        <f>IF(F6=1,"COMPLETE",IF(F6&gt;=0.75,"STRONG","GAPS"))</f>
        <v/>
      </c>
    </row>
    <row r="7">
      <c r="A7" s="7" t="inlineStr">
        <is>
          <t>CH-04</t>
        </is>
      </c>
      <c r="B7" s="5" t="inlineStr">
        <is>
          <t>MSC Superintending Control</t>
        </is>
      </c>
      <c r="C7" s="7" t="n">
        <v>9</v>
      </c>
      <c r="D7" s="7" t="n">
        <v>9</v>
      </c>
      <c r="E7" s="14">
        <f>C7-D7</f>
        <v/>
      </c>
      <c r="F7" s="38">
        <f>IF(C7&gt;0,D7/C7,0)</f>
        <v/>
      </c>
      <c r="G7" s="14">
        <f>IF(F7=1,"COMPLETE",IF(F7&gt;=0.75,"STRONG","GAPS"))</f>
        <v/>
      </c>
    </row>
    <row r="8">
      <c r="A8" s="12" t="inlineStr">
        <is>
          <t>CH-05</t>
        </is>
      </c>
      <c r="B8" s="10" t="inlineStr">
        <is>
          <t>MSC Emergency Application</t>
        </is>
      </c>
      <c r="C8" s="12" t="n">
        <v>6</v>
      </c>
      <c r="D8" s="12" t="n">
        <v>5</v>
      </c>
      <c r="E8" s="15">
        <f>C8-D8</f>
        <v/>
      </c>
      <c r="F8" s="37">
        <f>IF(C8&gt;0,D8/C8,0)</f>
        <v/>
      </c>
      <c r="G8" s="15">
        <f>IF(F8=1,"COMPLETE",IF(F8&gt;=0.75,"STRONG","GAPS"))</f>
        <v/>
      </c>
    </row>
    <row r="9">
      <c r="A9" s="7" t="inlineStr">
        <is>
          <t>CH-06</t>
        </is>
      </c>
      <c r="B9" s="5" t="inlineStr">
        <is>
          <t>Contempt Motion — PT Denial</t>
        </is>
      </c>
      <c r="C9" s="7" t="n">
        <v>8</v>
      </c>
      <c r="D9" s="7" t="n">
        <v>8</v>
      </c>
      <c r="E9" s="14">
        <f>C9-D9</f>
        <v/>
      </c>
      <c r="F9" s="38">
        <f>IF(C9&gt;0,D9/C9,0)</f>
        <v/>
      </c>
      <c r="G9" s="14">
        <f>IF(F9=1,"COMPLETE",IF(F9&gt;=0.75,"STRONG","GAPS"))</f>
        <v/>
      </c>
    </row>
    <row r="10">
      <c r="A10" s="12" t="inlineStr">
        <is>
          <t>CH-07</t>
        </is>
      </c>
      <c r="B10" s="10" t="inlineStr">
        <is>
          <t>Contempt Motion — Order Violation</t>
        </is>
      </c>
      <c r="C10" s="12" t="n">
        <v>6</v>
      </c>
      <c r="D10" s="12" t="n">
        <v>6</v>
      </c>
      <c r="E10" s="15">
        <f>C10-D10</f>
        <v/>
      </c>
      <c r="F10" s="37">
        <f>IF(C10&gt;0,D10/C10,0)</f>
        <v/>
      </c>
      <c r="G10" s="15">
        <f>IF(F10=1,"COMPLETE",IF(F10&gt;=0.75,"STRONG","GAPS"))</f>
        <v/>
      </c>
    </row>
    <row r="11">
      <c r="A11" s="7" t="inlineStr">
        <is>
          <t>CH-08</t>
        </is>
      </c>
      <c r="B11" s="5" t="inlineStr">
        <is>
          <t>Disqualification Motion</t>
        </is>
      </c>
      <c r="C11" s="7" t="n">
        <v>5</v>
      </c>
      <c r="D11" s="7" t="n">
        <v>5</v>
      </c>
      <c r="E11" s="14">
        <f>C11-D11</f>
        <v/>
      </c>
      <c r="F11" s="38">
        <f>IF(C11&gt;0,D11/C11,0)</f>
        <v/>
      </c>
      <c r="G11" s="14">
        <f>IF(F11=1,"COMPLETE",IF(F11&gt;=0.75,"STRONG","GAPS"))</f>
        <v/>
      </c>
    </row>
    <row r="12">
      <c r="A12" s="12" t="inlineStr">
        <is>
          <t>CH-09</t>
        </is>
      </c>
      <c r="B12" s="10" t="inlineStr">
        <is>
          <t>Emergency PT Motion</t>
        </is>
      </c>
      <c r="C12" s="12" t="n">
        <v>10</v>
      </c>
      <c r="D12" s="12" t="n">
        <v>9</v>
      </c>
      <c r="E12" s="15">
        <f>C12-D12</f>
        <v/>
      </c>
      <c r="F12" s="37">
        <f>IF(C12&gt;0,D12/C12,0)</f>
        <v/>
      </c>
      <c r="G12" s="15">
        <f>IF(F12=1,"COMPLETE",IF(F12&gt;=0.75,"STRONG","GAPS"))</f>
        <v/>
      </c>
    </row>
    <row r="13">
      <c r="A13" s="7" t="inlineStr">
        <is>
          <t>CH-10</t>
        </is>
      </c>
      <c r="B13" s="5" t="inlineStr">
        <is>
          <t>COA Brief — Custody Mod</t>
        </is>
      </c>
      <c r="C13" s="7" t="n">
        <v>12</v>
      </c>
      <c r="D13" s="7" t="n">
        <v>11</v>
      </c>
      <c r="E13" s="14">
        <f>C13-D13</f>
        <v/>
      </c>
      <c r="F13" s="38">
        <f>IF(C13&gt;0,D13/C13,0)</f>
        <v/>
      </c>
      <c r="G13" s="14">
        <f>IF(F13=1,"COMPLETE",IF(F13&gt;=0.75,"STRONG","GAPS"))</f>
        <v/>
      </c>
    </row>
    <row r="14">
      <c r="A14" s="12" t="inlineStr">
        <is>
          <t>CH-11</t>
        </is>
      </c>
      <c r="B14" s="10" t="inlineStr">
        <is>
          <t>COA Brief — Procedure</t>
        </is>
      </c>
      <c r="C14" s="12" t="n">
        <v>8</v>
      </c>
      <c r="D14" s="12" t="n">
        <v>8</v>
      </c>
      <c r="E14" s="15">
        <f>C14-D14</f>
        <v/>
      </c>
      <c r="F14" s="37">
        <f>IF(C14&gt;0,D14/C14,0)</f>
        <v/>
      </c>
      <c r="G14" s="15">
        <f>IF(F14=1,"COMPLETE",IF(F14&gt;=0.75,"STRONG","GAPS"))</f>
        <v/>
      </c>
    </row>
    <row r="15">
      <c r="A15" s="7" t="inlineStr">
        <is>
          <t>CH-12</t>
        </is>
      </c>
      <c r="B15" s="5" t="inlineStr">
        <is>
          <t>COA Brief — Constitutional</t>
        </is>
      </c>
      <c r="C15" s="7" t="n">
        <v>7</v>
      </c>
      <c r="D15" s="7" t="n">
        <v>7</v>
      </c>
      <c r="E15" s="14">
        <f>C15-D15</f>
        <v/>
      </c>
      <c r="F15" s="38">
        <f>IF(C15&gt;0,D15/C15,0)</f>
        <v/>
      </c>
      <c r="G15" s="14">
        <f>IF(F15=1,"COMPLETE",IF(F15&gt;=0.75,"STRONG","GAPS"))</f>
        <v/>
      </c>
    </row>
    <row r="16">
      <c r="A16" s="12" t="inlineStr">
        <is>
          <t>CH-13</t>
        </is>
      </c>
      <c r="B16" s="10" t="inlineStr">
        <is>
          <t>Housing — RICO Pattern</t>
        </is>
      </c>
      <c r="C16" s="12" t="n">
        <v>6</v>
      </c>
      <c r="D16" s="12" t="n">
        <v>5</v>
      </c>
      <c r="E16" s="15">
        <f>C16-D16</f>
        <v/>
      </c>
      <c r="F16" s="37">
        <f>IF(C16&gt;0,D16/C16,0)</f>
        <v/>
      </c>
      <c r="G16" s="15">
        <f>IF(F16=1,"COMPLETE",IF(F16&gt;=0.75,"STRONG","GAPS"))</f>
        <v/>
      </c>
    </row>
    <row r="17">
      <c r="A17" s="7" t="inlineStr">
        <is>
          <t>CH-14</t>
        </is>
      </c>
      <c r="B17" s="5" t="inlineStr">
        <is>
          <t>Housing — Consumer Protection</t>
        </is>
      </c>
      <c r="C17" s="7" t="n">
        <v>5</v>
      </c>
      <c r="D17" s="7" t="n">
        <v>4</v>
      </c>
      <c r="E17" s="14">
        <f>C17-D17</f>
        <v/>
      </c>
      <c r="F17" s="38">
        <f>IF(C17&gt;0,D17/C17,0)</f>
        <v/>
      </c>
      <c r="G17" s="14">
        <f>IF(F17=1,"COMPLETE",IF(F17&gt;=0.75,"STRONG","GAPS"))</f>
        <v/>
      </c>
    </row>
    <row r="18">
      <c r="A18" s="12" t="inlineStr">
        <is>
          <t>CH-15</t>
        </is>
      </c>
      <c r="B18" s="10" t="inlineStr">
        <is>
          <t>Housing — Fair Housing Act</t>
        </is>
      </c>
      <c r="C18" s="12" t="n">
        <v>6</v>
      </c>
      <c r="D18" s="12" t="n">
        <v>6</v>
      </c>
      <c r="E18" s="15">
        <f>C18-D18</f>
        <v/>
      </c>
      <c r="F18" s="37">
        <f>IF(C18&gt;0,D18/C18,0)</f>
        <v/>
      </c>
      <c r="G18" s="15">
        <f>IF(F18=1,"COMPLETE",IF(F18&gt;=0.75,"STRONG","GAPS"))</f>
        <v/>
      </c>
    </row>
    <row r="19">
      <c r="A19" s="7" t="inlineStr">
        <is>
          <t>CH-16</t>
        </is>
      </c>
      <c r="B19" s="5" t="inlineStr">
        <is>
          <t>Housing — Mobile Home Act</t>
        </is>
      </c>
      <c r="C19" s="7" t="n">
        <v>4</v>
      </c>
      <c r="D19" s="7" t="n">
        <v>4</v>
      </c>
      <c r="E19" s="14">
        <f>C19-D19</f>
        <v/>
      </c>
      <c r="F19" s="38">
        <f>IF(C19&gt;0,D19/C19,0)</f>
        <v/>
      </c>
      <c r="G19" s="14">
        <f>IF(F19=1,"COMPLETE",IF(F19&gt;=0.75,"STRONG","GAPS"))</f>
        <v/>
      </c>
    </row>
    <row r="20">
      <c r="A20" s="12" t="inlineStr">
        <is>
          <t>CH-17</t>
        </is>
      </c>
      <c r="B20" s="10" t="inlineStr">
        <is>
          <t>Housing — Tort Claims</t>
        </is>
      </c>
      <c r="C20" s="12" t="n">
        <v>5</v>
      </c>
      <c r="D20" s="12" t="n">
        <v>4</v>
      </c>
      <c r="E20" s="15">
        <f>C20-D20</f>
        <v/>
      </c>
      <c r="F20" s="37">
        <f>IF(C20&gt;0,D20/C20,0)</f>
        <v/>
      </c>
      <c r="G20" s="15">
        <f>IF(F20=1,"COMPLETE",IF(F20&gt;=0.75,"STRONG","GAPS"))</f>
        <v/>
      </c>
    </row>
    <row r="21">
      <c r="A21" s="7" t="inlineStr">
        <is>
          <t>CH-18</t>
        </is>
      </c>
      <c r="B21" s="5" t="inlineStr">
        <is>
          <t>Federal §1983 — Core</t>
        </is>
      </c>
      <c r="C21" s="7" t="n">
        <v>8</v>
      </c>
      <c r="D21" s="7" t="n">
        <v>8</v>
      </c>
      <c r="E21" s="14">
        <f>C21-D21</f>
        <v/>
      </c>
      <c r="F21" s="38">
        <f>IF(C21&gt;0,D21/C21,0)</f>
        <v/>
      </c>
      <c r="G21" s="14">
        <f>IF(F21=1,"COMPLETE",IF(F21&gt;=0.75,"STRONG","GAPS"))</f>
        <v/>
      </c>
    </row>
    <row r="22">
      <c r="A22" s="12" t="inlineStr">
        <is>
          <t>CH-19</t>
        </is>
      </c>
      <c r="B22" s="10" t="inlineStr">
        <is>
          <t>Federal §1983 — Qualified Immunity</t>
        </is>
      </c>
      <c r="C22" s="12" t="n">
        <v>5</v>
      </c>
      <c r="D22" s="12" t="n">
        <v>4</v>
      </c>
      <c r="E22" s="15">
        <f>C22-D22</f>
        <v/>
      </c>
      <c r="F22" s="37">
        <f>IF(C22&gt;0,D22/C22,0)</f>
        <v/>
      </c>
      <c r="G22" s="15">
        <f>IF(F22=1,"COMPLETE",IF(F22&gt;=0.75,"STRONG","GAPS"))</f>
        <v/>
      </c>
    </row>
    <row r="23">
      <c r="A23" s="7" t="inlineStr">
        <is>
          <t>CH-20</t>
        </is>
      </c>
      <c r="B23" s="5" t="inlineStr">
        <is>
          <t>Federal — Jurisdiction</t>
        </is>
      </c>
      <c r="C23" s="7" t="n">
        <v>4</v>
      </c>
      <c r="D23" s="7" t="n">
        <v>4</v>
      </c>
      <c r="E23" s="14">
        <f>C23-D23</f>
        <v/>
      </c>
      <c r="F23" s="38">
        <f>IF(C23&gt;0,D23/C23,0)</f>
        <v/>
      </c>
      <c r="G23" s="14">
        <f>IF(F23=1,"COMPLETE",IF(F23&gt;=0.75,"STRONG","GAPS"))</f>
        <v/>
      </c>
    </row>
    <row r="24">
      <c r="A24" s="12" t="inlineStr">
        <is>
          <t>CH-21</t>
        </is>
      </c>
      <c r="B24" s="10" t="inlineStr">
        <is>
          <t>Federal — Conspiracy §1985</t>
        </is>
      </c>
      <c r="C24" s="12" t="n">
        <v>4</v>
      </c>
      <c r="D24" s="12" t="n">
        <v>3</v>
      </c>
      <c r="E24" s="15">
        <f>C24-D24</f>
        <v/>
      </c>
      <c r="F24" s="37">
        <f>IF(C24&gt;0,D24/C24,0)</f>
        <v/>
      </c>
      <c r="G24" s="15">
        <f>IF(F24=1,"COMPLETE",IF(F24&gt;=0.75,"STRONG","GAPS"))</f>
        <v/>
      </c>
    </row>
    <row r="25">
      <c r="A25" s="7" t="inlineStr">
        <is>
          <t>CH-22</t>
        </is>
      </c>
      <c r="B25" s="5" t="inlineStr">
        <is>
          <t>PPO Modification</t>
        </is>
      </c>
      <c r="C25" s="7" t="n">
        <v>4</v>
      </c>
      <c r="D25" s="7" t="n">
        <v>4</v>
      </c>
      <c r="E25" s="14">
        <f>C25-D25</f>
        <v/>
      </c>
      <c r="F25" s="38">
        <f>IF(C25&gt;0,D25/C25,0)</f>
        <v/>
      </c>
      <c r="G25" s="14">
        <f>IF(F25=1,"COMPLETE",IF(F25&gt;=0.75,"STRONG","GAPS"))</f>
        <v/>
      </c>
    </row>
    <row r="26">
      <c r="A26" s="12" t="inlineStr">
        <is>
          <t>CH-23</t>
        </is>
      </c>
      <c r="B26" s="10" t="inlineStr">
        <is>
          <t>Habeas Corpus — Child</t>
        </is>
      </c>
      <c r="C26" s="12" t="n">
        <v>3</v>
      </c>
      <c r="D26" s="12" t="n">
        <v>2</v>
      </c>
      <c r="E26" s="15">
        <f>C26-D26</f>
        <v/>
      </c>
      <c r="F26" s="37">
        <f>IF(C26&gt;0,D26/C26,0)</f>
        <v/>
      </c>
      <c r="G26" s="15">
        <f>IF(F26=1,"COMPLETE",IF(F26&gt;=0.75,"STRONG","GAPS"))</f>
        <v/>
      </c>
    </row>
    <row r="27">
      <c r="A27" s="7" t="inlineStr">
        <is>
          <t>CH-24</t>
        </is>
      </c>
      <c r="B27" s="5" t="inlineStr">
        <is>
          <t>Discovery Enforcement</t>
        </is>
      </c>
      <c r="C27" s="7" t="n">
        <v>5</v>
      </c>
      <c r="D27" s="7" t="n">
        <v>4</v>
      </c>
      <c r="E27" s="14">
        <f>C27-D27</f>
        <v/>
      </c>
      <c r="F27" s="38">
        <f>IF(C27&gt;0,D27/C27,0)</f>
        <v/>
      </c>
      <c r="G27" s="14">
        <f>IF(F27=1,"COMPLETE",IF(F27&gt;=0.75,"STRONG","GAPS"))</f>
        <v/>
      </c>
    </row>
    <row r="28">
      <c r="A28" s="12" t="inlineStr">
        <is>
          <t>CH-25</t>
        </is>
      </c>
      <c r="B28" s="10" t="inlineStr">
        <is>
          <t>Statute of Limitations Defense</t>
        </is>
      </c>
      <c r="C28" s="12" t="n">
        <v>3</v>
      </c>
      <c r="D28" s="12" t="n">
        <v>3</v>
      </c>
      <c r="E28" s="15">
        <f>C28-D28</f>
        <v/>
      </c>
      <c r="F28" s="37">
        <f>IF(C28&gt;0,D28/C28,0)</f>
        <v/>
      </c>
      <c r="G28" s="15">
        <f>IF(F28=1,"COMPLETE",IF(F28&gt;=0.75,"STRONG","GAPS"))</f>
        <v/>
      </c>
    </row>
    <row r="29">
      <c r="A29" s="7" t="inlineStr">
        <is>
          <t>CH-26</t>
        </is>
      </c>
      <c r="B29" s="5" t="inlineStr">
        <is>
          <t>Appellate Procedure — COA</t>
        </is>
      </c>
      <c r="C29" s="7" t="n">
        <v>6</v>
      </c>
      <c r="D29" s="7" t="n">
        <v>6</v>
      </c>
      <c r="E29" s="14">
        <f>C29-D29</f>
        <v/>
      </c>
      <c r="F29" s="38">
        <f>IF(C29&gt;0,D29/C29,0)</f>
        <v/>
      </c>
      <c r="G29" s="14">
        <f>IF(F29=1,"COMPLETE",IF(F29&gt;=0.75,"STRONG","GAPS"))</f>
        <v/>
      </c>
    </row>
    <row r="30">
      <c r="A30" s="12" t="inlineStr">
        <is>
          <t>CH-27</t>
        </is>
      </c>
      <c r="B30" s="10" t="inlineStr">
        <is>
          <t>Appellate Procedure — MSC</t>
        </is>
      </c>
      <c r="C30" s="12" t="n">
        <v>5</v>
      </c>
      <c r="D30" s="12" t="n">
        <v>5</v>
      </c>
      <c r="E30" s="15">
        <f>C30-D30</f>
        <v/>
      </c>
      <c r="F30" s="37">
        <f>IF(C30&gt;0,D30/C30,0)</f>
        <v/>
      </c>
      <c r="G30" s="15">
        <f>IF(F30=1,"COMPLETE",IF(F30&gt;=0.75,"STRONG","GAPS"))</f>
        <v/>
      </c>
    </row>
    <row r="31">
      <c r="A31" s="7" t="inlineStr">
        <is>
          <t>CH-28</t>
        </is>
      </c>
      <c r="B31" s="5" t="inlineStr">
        <is>
          <t>Void Judgment Challenge</t>
        </is>
      </c>
      <c r="C31" s="7" t="n">
        <v>5</v>
      </c>
      <c r="D31" s="7" t="n">
        <v>5</v>
      </c>
      <c r="E31" s="14">
        <f>C31-D31</f>
        <v/>
      </c>
      <c r="F31" s="38">
        <f>IF(C31&gt;0,D31/C31,0)</f>
        <v/>
      </c>
      <c r="G31" s="14">
        <f>IF(F31=1,"COMPLETE",IF(F31&gt;=0.75,"STRONG","GAPS"))</f>
        <v/>
      </c>
    </row>
    <row r="33">
      <c r="A33" s="39" t="inlineStr">
        <is>
          <t>SUMMARY</t>
        </is>
      </c>
    </row>
    <row r="34">
      <c r="B34" s="21" t="inlineStr">
        <is>
          <t>Total Chains:</t>
        </is>
      </c>
      <c r="C34" s="22">
        <f>COUNTA(A4:A31)</f>
        <v/>
      </c>
    </row>
    <row r="35">
      <c r="B35" s="21" t="inlineStr">
        <is>
          <t>COMPLETE:</t>
        </is>
      </c>
      <c r="C35" s="22">
        <f>COUNTIF(G4:G31,"COMPLETE")</f>
        <v/>
      </c>
    </row>
    <row r="36">
      <c r="B36" s="21" t="inlineStr">
        <is>
          <t>STRONG:</t>
        </is>
      </c>
      <c r="C36" s="22">
        <f>COUNTIF(G4:G31,"STRONG")</f>
        <v/>
      </c>
    </row>
    <row r="37">
      <c r="B37" s="21" t="inlineStr">
        <is>
          <t>GAPS:</t>
        </is>
      </c>
      <c r="C37" s="22">
        <f>COUNTIF(G4:G31,"GAPS")</f>
        <v/>
      </c>
    </row>
    <row r="38">
      <c r="B38" s="21" t="inlineStr">
        <is>
          <t>Avg Completeness:</t>
        </is>
      </c>
      <c r="C38" s="40">
        <f>AVERAGE(F4:F31)</f>
        <v/>
      </c>
    </row>
    <row r="39">
      <c r="B39" s="21" t="inlineStr">
        <is>
          <t>Total Required:</t>
        </is>
      </c>
      <c r="C39" s="22">
        <f>SUM(C4:C31)</f>
        <v/>
      </c>
    </row>
    <row r="40">
      <c r="B40" s="21" t="inlineStr">
        <is>
          <t>Total Found:</t>
        </is>
      </c>
      <c r="C40" s="22">
        <f>SUM(D4:D31)</f>
        <v/>
      </c>
    </row>
    <row r="41">
      <c r="B41" s="21" t="inlineStr">
        <is>
          <t>Total Missing:</t>
        </is>
      </c>
      <c r="C41" s="22">
        <f>SUM(E4:E31)</f>
        <v/>
      </c>
    </row>
  </sheetData>
  <autoFilter ref="A3:G31"/>
  <mergeCells count="1">
    <mergeCell ref="A1:G1"/>
  </mergeCells>
  <conditionalFormatting sqref="F4:F31">
    <cfRule type="cellIs" priority="1" operator="equal" dxfId="0">
      <formula>1</formula>
    </cfRule>
    <cfRule type="cellIs" priority="2" operator="between" dxfId="1">
      <formula>0.75</formula>
      <formula>0.99</formula>
    </cfRule>
    <cfRule type="cellIs" priority="3" operator="lessThan" dxfId="3">
      <formula>0.75</formula>
    </cfRule>
  </conditionalFormatting>
  <conditionalFormatting sqref="G4:G31">
    <cfRule type="cellIs" priority="4" operator="equal" dxfId="0">
      <formula>"COMPLETE"</formula>
    </cfRule>
    <cfRule type="cellIs" priority="5" operator="equal" dxfId="1">
      <formula>"STRONG"</formula>
    </cfRule>
    <cfRule type="cellIs" priority="6" operator="equal" dxfId="3">
      <formula>"GAPS"</formula>
    </cfRule>
  </conditionalFormatting>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52" customWidth="1" min="3" max="3"/>
    <col width="16" customWidth="1" min="4" max="4"/>
    <col width="18" customWidth="1" min="5" max="5"/>
    <col width="16" customWidth="1" min="6" max="6"/>
  </cols>
  <sheetData>
    <row r="1">
      <c r="A1" s="24" t="inlineStr">
        <is>
          <t>Authority Weight &amp; Coverage Analysis</t>
        </is>
      </c>
    </row>
    <row r="3">
      <c r="A3" s="39" t="inlineStr">
        <is>
          <t>SECTION A: Average Weight by Authority Type</t>
        </is>
      </c>
    </row>
    <row r="4">
      <c r="A4" s="3" t="inlineStr">
        <is>
          <t>Authority Type</t>
        </is>
      </c>
      <c r="B4" s="3" t="inlineStr">
        <is>
          <t>Count</t>
        </is>
      </c>
      <c r="C4" s="3" t="inlineStr">
        <is>
          <t>Avg Weight</t>
        </is>
      </c>
      <c r="D4" s="3" t="inlineStr">
        <is>
          <t>Max Weight</t>
        </is>
      </c>
    </row>
    <row r="5">
      <c r="A5" s="7" t="inlineStr">
        <is>
          <t>SCOTUS</t>
        </is>
      </c>
      <c r="B5" s="14">
        <f>COUNTIF('Authority Index'!D$5:D$64,"SCOTUS")</f>
        <v/>
      </c>
      <c r="C5" s="41">
        <f>IFERROR(AVERAGEIF('Authority Index'!D$5:D$64,"SCOTUS",'Authority Index'!I$5:I$64),0)</f>
        <v/>
      </c>
      <c r="D5" s="42">
        <f>IFERROR(MAXIFS('Authority Index'!I$5:I$64,'Authority Index'!D$5:D$64,"SCOTUS"),0)</f>
        <v/>
      </c>
    </row>
    <row r="6">
      <c r="A6" s="12" t="inlineStr">
        <is>
          <t>MI_SC</t>
        </is>
      </c>
      <c r="B6" s="15">
        <f>COUNTIF('Authority Index'!D$5:D$64,"MI_SC")</f>
        <v/>
      </c>
      <c r="C6" s="43">
        <f>IFERROR(AVERAGEIF('Authority Index'!D$5:D$64,"MI_SC",'Authority Index'!I$5:I$64),0)</f>
        <v/>
      </c>
      <c r="D6" s="44">
        <f>IFERROR(MAXIFS('Authority Index'!I$5:I$64,'Authority Index'!D$5:D$64,"MI_SC"),0)</f>
        <v/>
      </c>
    </row>
    <row r="7">
      <c r="A7" s="7" t="inlineStr">
        <is>
          <t>MI_COA</t>
        </is>
      </c>
      <c r="B7" s="14">
        <f>COUNTIF('Authority Index'!D$5:D$64,"MI_COA")</f>
        <v/>
      </c>
      <c r="C7" s="41">
        <f>IFERROR(AVERAGEIF('Authority Index'!D$5:D$64,"MI_COA",'Authority Index'!I$5:I$64),0)</f>
        <v/>
      </c>
      <c r="D7" s="42">
        <f>IFERROR(MAXIFS('Authority Index'!I$5:I$64,'Authority Index'!D$5:D$64,"MI_COA"),0)</f>
        <v/>
      </c>
    </row>
    <row r="8">
      <c r="A8" s="12" t="inlineStr">
        <is>
          <t>MCR</t>
        </is>
      </c>
      <c r="B8" s="15">
        <f>COUNTIF('Authority Index'!D$5:D$64,"MCR")</f>
        <v/>
      </c>
      <c r="C8" s="43">
        <f>IFERROR(AVERAGEIF('Authority Index'!D$5:D$64,"MCR",'Authority Index'!I$5:I$64),0)</f>
        <v/>
      </c>
      <c r="D8" s="44">
        <f>IFERROR(MAXIFS('Authority Index'!I$5:I$64,'Authority Index'!D$5:D$64,"MCR"),0)</f>
        <v/>
      </c>
    </row>
    <row r="9">
      <c r="A9" s="7" t="inlineStr">
        <is>
          <t>MCL</t>
        </is>
      </c>
      <c r="B9" s="14">
        <f>COUNTIF('Authority Index'!D$5:D$64,"MCL")</f>
        <v/>
      </c>
      <c r="C9" s="41">
        <f>IFERROR(AVERAGEIF('Authority Index'!D$5:D$64,"MCL",'Authority Index'!I$5:I$64),0)</f>
        <v/>
      </c>
      <c r="D9" s="42">
        <f>IFERROR(MAXIFS('Authority Index'!I$5:I$64,'Authority Index'!D$5:D$64,"MCL"),0)</f>
        <v/>
      </c>
    </row>
    <row r="10">
      <c r="A10" s="12" t="inlineStr">
        <is>
          <t>FED_STAT</t>
        </is>
      </c>
      <c r="B10" s="15">
        <f>COUNTIF('Authority Index'!D$5:D$64,"FED_STAT")</f>
        <v/>
      </c>
      <c r="C10" s="43">
        <f>IFERROR(AVERAGEIF('Authority Index'!D$5:D$64,"FED_STAT",'Authority Index'!I$5:I$64),0)</f>
        <v/>
      </c>
      <c r="D10" s="44">
        <f>IFERROR(MAXIFS('Authority Index'!I$5:I$64,'Authority Index'!D$5:D$64,"FED_STAT"),0)</f>
        <v/>
      </c>
    </row>
    <row r="11">
      <c r="A11" s="7" t="inlineStr">
        <is>
          <t>FED_RULE</t>
        </is>
      </c>
      <c r="B11" s="14">
        <f>COUNTIF('Authority Index'!D$5:D$64,"FED_RULE")</f>
        <v/>
      </c>
      <c r="C11" s="41">
        <f>IFERROR(AVERAGEIF('Authority Index'!D$5:D$64,"FED_RULE",'Authority Index'!I$5:I$64),0)</f>
        <v/>
      </c>
      <c r="D11" s="42">
        <f>IFERROR(MAXIFS('Authority Index'!I$5:I$64,'Authority Index'!D$5:D$64,"FED_RULE"),0)</f>
        <v/>
      </c>
    </row>
    <row r="12">
      <c r="A12" s="12" t="inlineStr">
        <is>
          <t>CONST</t>
        </is>
      </c>
      <c r="B12" s="15">
        <f>COUNTIF('Authority Index'!D$5:D$64,"CONST")</f>
        <v/>
      </c>
      <c r="C12" s="43">
        <f>IFERROR(AVERAGEIF('Authority Index'!D$5:D$64,"CONST",'Authority Index'!I$5:I$64),0)</f>
        <v/>
      </c>
      <c r="D12" s="44">
        <f>IFERROR(MAXIFS('Authority Index'!I$5:I$64,'Authority Index'!D$5:D$64,"CONST"),0)</f>
        <v/>
      </c>
    </row>
    <row r="13">
      <c r="A13" s="7" t="inlineStr">
        <is>
          <t>6TH_CIR</t>
        </is>
      </c>
      <c r="B13" s="14">
        <f>COUNTIF('Authority Index'!D$5:D$64,"6TH_CIR")</f>
        <v/>
      </c>
      <c r="C13" s="41">
        <f>IFERROR(AVERAGEIF('Authority Index'!D$5:D$64,"6TH_CIR",'Authority Index'!I$5:I$64),0)</f>
        <v/>
      </c>
      <c r="D13" s="42">
        <f>IFERROR(MAXIFS('Authority Index'!I$5:I$64,'Authority Index'!D$5:D$64,"6TH_CIR"),0)</f>
        <v/>
      </c>
    </row>
    <row r="16">
      <c r="A16" s="39" t="inlineStr">
        <is>
          <t>SECTION B: Top 10 Strongest Authorities (by Weight)</t>
        </is>
      </c>
    </row>
    <row r="17">
      <c r="A17" s="3" t="inlineStr">
        <is>
          <t>Rank</t>
        </is>
      </c>
      <c r="B17" s="3" t="inlineStr">
        <is>
          <t>Weight</t>
        </is>
      </c>
      <c r="C17" s="3" t="inlineStr">
        <is>
          <t>Citation</t>
        </is>
      </c>
      <c r="D17" s="3" t="inlineStr">
        <is>
          <t>Type</t>
        </is>
      </c>
      <c r="E17" s="3" t="inlineStr">
        <is>
          <t>Lane(s)</t>
        </is>
      </c>
    </row>
    <row r="18">
      <c r="A18" s="15" t="n">
        <v>1</v>
      </c>
      <c r="B18" s="15">
        <f>LARGE('Authority Index'!I$5:I$64,1)</f>
        <v/>
      </c>
      <c r="C18" s="26">
        <f>IFERROR(INDEX('Authority Index'!B$5:B$64,MATCH(LARGE('Authority Index'!I$5:I$64,1),'Authority Index'!I$5:I$64,0)),"")</f>
        <v/>
      </c>
      <c r="D18" s="25">
        <f>IFERROR(INDEX('Authority Index'!D$5:D$64,MATCH(LARGE('Authority Index'!I$5:I$64,1),'Authority Index'!I$5:I$64,0)),"")</f>
        <v/>
      </c>
      <c r="E18" s="25">
        <f>IFERROR(INDEX('Authority Index'!G$5:G$64,MATCH(LARGE('Authority Index'!I$5:I$64,1),'Authority Index'!I$5:I$64,0)),"")</f>
        <v/>
      </c>
    </row>
    <row r="19">
      <c r="A19" s="14" t="n">
        <v>2</v>
      </c>
      <c r="B19" s="14">
        <f>LARGE('Authority Index'!I$5:I$64,2)</f>
        <v/>
      </c>
      <c r="C19" s="29">
        <f>IFERROR(INDEX('Authority Index'!B$5:B$64,MATCH(LARGE('Authority Index'!I$5:I$64,2),'Authority Index'!I$5:I$64,0)),"")</f>
        <v/>
      </c>
      <c r="D19" s="28">
        <f>IFERROR(INDEX('Authority Index'!D$5:D$64,MATCH(LARGE('Authority Index'!I$5:I$64,2),'Authority Index'!I$5:I$64,0)),"")</f>
        <v/>
      </c>
      <c r="E19" s="28">
        <f>IFERROR(INDEX('Authority Index'!G$5:G$64,MATCH(LARGE('Authority Index'!I$5:I$64,2),'Authority Index'!I$5:I$64,0)),"")</f>
        <v/>
      </c>
    </row>
    <row r="20">
      <c r="A20" s="15" t="n">
        <v>3</v>
      </c>
      <c r="B20" s="15">
        <f>LARGE('Authority Index'!I$5:I$64,3)</f>
        <v/>
      </c>
      <c r="C20" s="26">
        <f>IFERROR(INDEX('Authority Index'!B$5:B$64,MATCH(LARGE('Authority Index'!I$5:I$64,3),'Authority Index'!I$5:I$64,0)),"")</f>
        <v/>
      </c>
      <c r="D20" s="25">
        <f>IFERROR(INDEX('Authority Index'!D$5:D$64,MATCH(LARGE('Authority Index'!I$5:I$64,3),'Authority Index'!I$5:I$64,0)),"")</f>
        <v/>
      </c>
      <c r="E20" s="25">
        <f>IFERROR(INDEX('Authority Index'!G$5:G$64,MATCH(LARGE('Authority Index'!I$5:I$64,3),'Authority Index'!I$5:I$64,0)),"")</f>
        <v/>
      </c>
    </row>
    <row r="21">
      <c r="A21" s="14" t="n">
        <v>4</v>
      </c>
      <c r="B21" s="14">
        <f>LARGE('Authority Index'!I$5:I$64,4)</f>
        <v/>
      </c>
      <c r="C21" s="29">
        <f>IFERROR(INDEX('Authority Index'!B$5:B$64,MATCH(LARGE('Authority Index'!I$5:I$64,4),'Authority Index'!I$5:I$64,0)),"")</f>
        <v/>
      </c>
      <c r="D21" s="28">
        <f>IFERROR(INDEX('Authority Index'!D$5:D$64,MATCH(LARGE('Authority Index'!I$5:I$64,4),'Authority Index'!I$5:I$64,0)),"")</f>
        <v/>
      </c>
      <c r="E21" s="28">
        <f>IFERROR(INDEX('Authority Index'!G$5:G$64,MATCH(LARGE('Authority Index'!I$5:I$64,4),'Authority Index'!I$5:I$64,0)),"")</f>
        <v/>
      </c>
    </row>
    <row r="22">
      <c r="A22" s="15" t="n">
        <v>5</v>
      </c>
      <c r="B22" s="15">
        <f>LARGE('Authority Index'!I$5:I$64,5)</f>
        <v/>
      </c>
      <c r="C22" s="26">
        <f>IFERROR(INDEX('Authority Index'!B$5:B$64,MATCH(LARGE('Authority Index'!I$5:I$64,5),'Authority Index'!I$5:I$64,0)),"")</f>
        <v/>
      </c>
      <c r="D22" s="25">
        <f>IFERROR(INDEX('Authority Index'!D$5:D$64,MATCH(LARGE('Authority Index'!I$5:I$64,5),'Authority Index'!I$5:I$64,0)),"")</f>
        <v/>
      </c>
      <c r="E22" s="25">
        <f>IFERROR(INDEX('Authority Index'!G$5:G$64,MATCH(LARGE('Authority Index'!I$5:I$64,5),'Authority Index'!I$5:I$64,0)),"")</f>
        <v/>
      </c>
    </row>
    <row r="23">
      <c r="A23" s="14" t="n">
        <v>6</v>
      </c>
      <c r="B23" s="14">
        <f>LARGE('Authority Index'!I$5:I$64,6)</f>
        <v/>
      </c>
      <c r="C23" s="29">
        <f>IFERROR(INDEX('Authority Index'!B$5:B$64,MATCH(LARGE('Authority Index'!I$5:I$64,6),'Authority Index'!I$5:I$64,0)),"")</f>
        <v/>
      </c>
      <c r="D23" s="28">
        <f>IFERROR(INDEX('Authority Index'!D$5:D$64,MATCH(LARGE('Authority Index'!I$5:I$64,6),'Authority Index'!I$5:I$64,0)),"")</f>
        <v/>
      </c>
      <c r="E23" s="28">
        <f>IFERROR(INDEX('Authority Index'!G$5:G$64,MATCH(LARGE('Authority Index'!I$5:I$64,6),'Authority Index'!I$5:I$64,0)),"")</f>
        <v/>
      </c>
    </row>
    <row r="24">
      <c r="A24" s="15" t="n">
        <v>7</v>
      </c>
      <c r="B24" s="15">
        <f>LARGE('Authority Index'!I$5:I$64,7)</f>
        <v/>
      </c>
      <c r="C24" s="26">
        <f>IFERROR(INDEX('Authority Index'!B$5:B$64,MATCH(LARGE('Authority Index'!I$5:I$64,7),'Authority Index'!I$5:I$64,0)),"")</f>
        <v/>
      </c>
      <c r="D24" s="25">
        <f>IFERROR(INDEX('Authority Index'!D$5:D$64,MATCH(LARGE('Authority Index'!I$5:I$64,7),'Authority Index'!I$5:I$64,0)),"")</f>
        <v/>
      </c>
      <c r="E24" s="25">
        <f>IFERROR(INDEX('Authority Index'!G$5:G$64,MATCH(LARGE('Authority Index'!I$5:I$64,7),'Authority Index'!I$5:I$64,0)),"")</f>
        <v/>
      </c>
    </row>
    <row r="25">
      <c r="A25" s="14" t="n">
        <v>8</v>
      </c>
      <c r="B25" s="14">
        <f>LARGE('Authority Index'!I$5:I$64,8)</f>
        <v/>
      </c>
      <c r="C25" s="29">
        <f>IFERROR(INDEX('Authority Index'!B$5:B$64,MATCH(LARGE('Authority Index'!I$5:I$64,8),'Authority Index'!I$5:I$64,0)),"")</f>
        <v/>
      </c>
      <c r="D25" s="28">
        <f>IFERROR(INDEX('Authority Index'!D$5:D$64,MATCH(LARGE('Authority Index'!I$5:I$64,8),'Authority Index'!I$5:I$64,0)),"")</f>
        <v/>
      </c>
      <c r="E25" s="28">
        <f>IFERROR(INDEX('Authority Index'!G$5:G$64,MATCH(LARGE('Authority Index'!I$5:I$64,8),'Authority Index'!I$5:I$64,0)),"")</f>
        <v/>
      </c>
    </row>
    <row r="26">
      <c r="A26" s="15" t="n">
        <v>9</v>
      </c>
      <c r="B26" s="15">
        <f>LARGE('Authority Index'!I$5:I$64,9)</f>
        <v/>
      </c>
      <c r="C26" s="26">
        <f>IFERROR(INDEX('Authority Index'!B$5:B$64,MATCH(LARGE('Authority Index'!I$5:I$64,9),'Authority Index'!I$5:I$64,0)),"")</f>
        <v/>
      </c>
      <c r="D26" s="25">
        <f>IFERROR(INDEX('Authority Index'!D$5:D$64,MATCH(LARGE('Authority Index'!I$5:I$64,9),'Authority Index'!I$5:I$64,0)),"")</f>
        <v/>
      </c>
      <c r="E26" s="25">
        <f>IFERROR(INDEX('Authority Index'!G$5:G$64,MATCH(LARGE('Authority Index'!I$5:I$64,9),'Authority Index'!I$5:I$64,0)),"")</f>
        <v/>
      </c>
    </row>
    <row r="27">
      <c r="A27" s="14" t="n">
        <v>10</v>
      </c>
      <c r="B27" s="14">
        <f>LARGE('Authority Index'!I$5:I$64,10)</f>
        <v/>
      </c>
      <c r="C27" s="29">
        <f>IFERROR(INDEX('Authority Index'!B$5:B$64,MATCH(LARGE('Authority Index'!I$5:I$64,10),'Authority Index'!I$5:I$64,0)),"")</f>
        <v/>
      </c>
      <c r="D27" s="28">
        <f>IFERROR(INDEX('Authority Index'!D$5:D$64,MATCH(LARGE('Authority Index'!I$5:I$64,10),'Authority Index'!I$5:I$64,0)),"")</f>
        <v/>
      </c>
      <c r="E27" s="28">
        <f>IFERROR(INDEX('Authority Index'!G$5:G$64,MATCH(LARGE('Authority Index'!I$5:I$64,10),'Authority Index'!I$5:I$64,0)),"")</f>
        <v/>
      </c>
    </row>
    <row r="30">
      <c r="A30" s="39" t="inlineStr">
        <is>
          <t>SECTION C: Citation Count per Filing (Cross-Sheet)</t>
        </is>
      </c>
    </row>
    <row r="31">
      <c r="A31" s="3" t="inlineStr">
        <is>
          <t>Filing</t>
        </is>
      </c>
      <c r="B31" s="3" t="inlineStr">
        <is>
          <t>Total Citations</t>
        </is>
      </c>
      <c r="C31" s="3" t="inlineStr">
        <is>
          <t>% of Total</t>
        </is>
      </c>
      <c r="D31" s="3" t="inlineStr">
        <is>
          <t>Strength</t>
        </is>
      </c>
    </row>
    <row r="32">
      <c r="A32" s="11" t="inlineStr">
        <is>
          <t>JTC</t>
        </is>
      </c>
      <c r="B32" s="25">
        <f>'Filing Cross-Reference'!C65</f>
        <v/>
      </c>
      <c r="C32" s="37">
        <f>IFERROR(B32/'Filing Cross-Reference'!L65,0)</f>
        <v/>
      </c>
      <c r="D32" s="15">
        <f>IF(B32&gt;=20,"STRONG",IF(B32&gt;=10,"ADEQUATE","WEAK"))</f>
        <v/>
      </c>
    </row>
    <row r="33">
      <c r="A33" s="6" t="inlineStr">
        <is>
          <t>MSC Super</t>
        </is>
      </c>
      <c r="B33" s="28">
        <f>'Filing Cross-Reference'!D65</f>
        <v/>
      </c>
      <c r="C33" s="38">
        <f>IFERROR(B33/'Filing Cross-Reference'!L65,0)</f>
        <v/>
      </c>
      <c r="D33" s="14">
        <f>IF(B33&gt;=20,"STRONG",IF(B33&gt;=10,"ADEQUATE","WEAK"))</f>
        <v/>
      </c>
    </row>
    <row r="34">
      <c r="A34" s="11" t="inlineStr">
        <is>
          <t>Contempt</t>
        </is>
      </c>
      <c r="B34" s="25">
        <f>'Filing Cross-Reference'!E65</f>
        <v/>
      </c>
      <c r="C34" s="37">
        <f>IFERROR(B34/'Filing Cross-Reference'!L65,0)</f>
        <v/>
      </c>
      <c r="D34" s="15">
        <f>IF(B34&gt;=20,"STRONG",IF(B34&gt;=10,"ADEQUATE","WEAK"))</f>
        <v/>
      </c>
    </row>
    <row r="35">
      <c r="A35" s="6" t="inlineStr">
        <is>
          <t>Disqual</t>
        </is>
      </c>
      <c r="B35" s="28">
        <f>'Filing Cross-Reference'!F65</f>
        <v/>
      </c>
      <c r="C35" s="38">
        <f>IFERROR(B35/'Filing Cross-Reference'!L65,0)</f>
        <v/>
      </c>
      <c r="D35" s="14">
        <f>IF(B35&gt;=20,"STRONG",IF(B35&gt;=10,"ADEQUATE","WEAK"))</f>
        <v/>
      </c>
    </row>
    <row r="36">
      <c r="A36" s="11" t="inlineStr">
        <is>
          <t>Emergency PT</t>
        </is>
      </c>
      <c r="B36" s="25">
        <f>'Filing Cross-Reference'!G65</f>
        <v/>
      </c>
      <c r="C36" s="37">
        <f>IFERROR(B36/'Filing Cross-Reference'!L65,0)</f>
        <v/>
      </c>
      <c r="D36" s="15">
        <f>IF(B36&gt;=20,"STRONG",IF(B36&gt;=10,"ADEQUATE","WEAK"))</f>
        <v/>
      </c>
    </row>
    <row r="37">
      <c r="A37" s="6" t="inlineStr">
        <is>
          <t>COA Brief</t>
        </is>
      </c>
      <c r="B37" s="28">
        <f>'Filing Cross-Reference'!H65</f>
        <v/>
      </c>
      <c r="C37" s="38">
        <f>IFERROR(B37/'Filing Cross-Reference'!L65,0)</f>
        <v/>
      </c>
      <c r="D37" s="14">
        <f>IF(B37&gt;=20,"STRONG",IF(B37&gt;=10,"ADEQUATE","WEAK"))</f>
        <v/>
      </c>
    </row>
    <row r="38">
      <c r="A38" s="11" t="inlineStr">
        <is>
          <t>Housing</t>
        </is>
      </c>
      <c r="B38" s="25">
        <f>'Filing Cross-Reference'!I65</f>
        <v/>
      </c>
      <c r="C38" s="37">
        <f>IFERROR(B38/'Filing Cross-Reference'!L65,0)</f>
        <v/>
      </c>
      <c r="D38" s="15">
        <f>IF(B38&gt;=20,"STRONG",IF(B38&gt;=10,"ADEQUATE","WEAK"))</f>
        <v/>
      </c>
    </row>
    <row r="39">
      <c r="A39" s="6" t="inlineStr">
        <is>
          <t>Federal</t>
        </is>
      </c>
      <c r="B39" s="28">
        <f>'Filing Cross-Reference'!J65</f>
        <v/>
      </c>
      <c r="C39" s="38">
        <f>IFERROR(B39/'Filing Cross-Reference'!L65,0)</f>
        <v/>
      </c>
      <c r="D39" s="14">
        <f>IF(B39&gt;=20,"STRONG",IF(B39&gt;=10,"ADEQUATE","WEAK"))</f>
        <v/>
      </c>
    </row>
    <row r="40">
      <c r="A40" s="11" t="inlineStr">
        <is>
          <t>Tort</t>
        </is>
      </c>
      <c r="B40" s="25">
        <f>'Filing Cross-Reference'!K65</f>
        <v/>
      </c>
      <c r="C40" s="37">
        <f>IFERROR(B40/'Filing Cross-Reference'!L65,0)</f>
        <v/>
      </c>
      <c r="D40" s="15">
        <f>IF(B40&gt;=20,"STRONG",IF(B40&gt;=10,"ADEQUATE","WEAK"))</f>
        <v/>
      </c>
    </row>
    <row r="43">
      <c r="A43" s="39" t="inlineStr">
        <is>
          <t>SECTION D: Lane Coverage Heatmap Data</t>
        </is>
      </c>
    </row>
    <row r="44">
      <c r="A44" s="3" t="inlineStr">
        <is>
          <t>Lane</t>
        </is>
      </c>
      <c r="B44" s="3" t="inlineStr">
        <is>
          <t>Authority Count</t>
        </is>
      </c>
      <c r="C44" s="3" t="inlineStr">
        <is>
          <t>Avg Weight</t>
        </is>
      </c>
      <c r="D44" s="3" t="inlineStr">
        <is>
          <t>Chain Complete %</t>
        </is>
      </c>
      <c r="E44" s="3" t="inlineStr">
        <is>
          <t>Coverage Score</t>
        </is>
      </c>
      <c r="F44" s="3" t="inlineStr">
        <is>
          <t>Rating</t>
        </is>
      </c>
    </row>
    <row r="45">
      <c r="A45" s="6" t="inlineStr">
        <is>
          <t>Lane A — Custody (Watson)</t>
        </is>
      </c>
      <c r="B45" s="28">
        <f>'Lane Assignment Matrix'!C65</f>
        <v/>
      </c>
      <c r="C45" s="41">
        <f>IFERROR(AVERAGEIF('Authority Index'!G$5:G$64,"*A*",'Authority Index'!I$5:I$64),0)</f>
        <v/>
      </c>
      <c r="D45" s="45">
        <f>'Authority Chain Completeness'!C38</f>
        <v/>
      </c>
      <c r="E45" s="41">
        <f>IFERROR((B45*C45)/100,0)</f>
        <v/>
      </c>
      <c r="F45" s="14">
        <f>IF(E45&gt;=15,"EXCELLENT",IF(E45&gt;=8,"GOOD",IF(E45&gt;=3,"FAIR","WEAK")))</f>
        <v/>
      </c>
    </row>
    <row r="46">
      <c r="A46" s="11" t="inlineStr">
        <is>
          <t>Lane B — Housing (Shady Oaks)</t>
        </is>
      </c>
      <c r="B46" s="25">
        <f>'Lane Assignment Matrix'!D65</f>
        <v/>
      </c>
      <c r="C46" s="43">
        <f>IFERROR(AVERAGEIF('Authority Index'!G$5:G$64,"*B*",'Authority Index'!I$5:I$64),0)</f>
        <v/>
      </c>
      <c r="D46" s="46">
        <f>'Authority Chain Completeness'!C38</f>
        <v/>
      </c>
      <c r="E46" s="43">
        <f>IFERROR((B46*C46)/100,0)</f>
        <v/>
      </c>
      <c r="F46" s="15">
        <f>IF(E46&gt;=15,"EXCELLENT",IF(E46&gt;=8,"GOOD",IF(E46&gt;=3,"FAIR","WEAK")))</f>
        <v/>
      </c>
    </row>
    <row r="47">
      <c r="A47" s="6" t="inlineStr">
        <is>
          <t>Lane C — Convergence</t>
        </is>
      </c>
      <c r="B47" s="28">
        <f>'Lane Assignment Matrix'!E65</f>
        <v/>
      </c>
      <c r="C47" s="41">
        <f>IFERROR(AVERAGEIF('Authority Index'!G$5:G$64,"*C*",'Authority Index'!I$5:I$64),0)</f>
        <v/>
      </c>
      <c r="D47" s="45">
        <f>'Authority Chain Completeness'!C38</f>
        <v/>
      </c>
      <c r="E47" s="41">
        <f>IFERROR((B47*C47)/100,0)</f>
        <v/>
      </c>
      <c r="F47" s="14">
        <f>IF(E47&gt;=15,"EXCELLENT",IF(E47&gt;=8,"GOOD",IF(E47&gt;=3,"FAIR","WEAK")))</f>
        <v/>
      </c>
    </row>
    <row r="48">
      <c r="A48" s="11" t="inlineStr">
        <is>
          <t>Lane D — PPO</t>
        </is>
      </c>
      <c r="B48" s="25">
        <f>'Lane Assignment Matrix'!F65</f>
        <v/>
      </c>
      <c r="C48" s="43">
        <f>IFERROR(AVERAGEIF('Authority Index'!G$5:G$64,"*D*",'Authority Index'!I$5:I$64),0)</f>
        <v/>
      </c>
      <c r="D48" s="46">
        <f>'Authority Chain Completeness'!C38</f>
        <v/>
      </c>
      <c r="E48" s="43">
        <f>IFERROR((B48*C48)/100,0)</f>
        <v/>
      </c>
      <c r="F48" s="15">
        <f>IF(E48&gt;=15,"EXCELLENT",IF(E48&gt;=8,"GOOD",IF(E48&gt;=3,"FAIR","WEAK")))</f>
        <v/>
      </c>
    </row>
    <row r="49">
      <c r="A49" s="6" t="inlineStr">
        <is>
          <t>Lane E — Judicial Misconduct</t>
        </is>
      </c>
      <c r="B49" s="28">
        <f>'Lane Assignment Matrix'!G65</f>
        <v/>
      </c>
      <c r="C49" s="41">
        <f>IFERROR(AVERAGEIF('Authority Index'!G$5:G$64,"*E*",'Authority Index'!I$5:I$64),0)</f>
        <v/>
      </c>
      <c r="D49" s="45">
        <f>'Authority Chain Completeness'!C38</f>
        <v/>
      </c>
      <c r="E49" s="41">
        <f>IFERROR((B49*C49)/100,0)</f>
        <v/>
      </c>
      <c r="F49" s="14">
        <f>IF(E49&gt;=15,"EXCELLENT",IF(E49&gt;=8,"GOOD",IF(E49&gt;=3,"FAIR","WEAK")))</f>
        <v/>
      </c>
    </row>
    <row r="50">
      <c r="A50" s="11" t="inlineStr">
        <is>
          <t>Lane F — Appellate</t>
        </is>
      </c>
      <c r="B50" s="25">
        <f>'Lane Assignment Matrix'!H65</f>
        <v/>
      </c>
      <c r="C50" s="43">
        <f>IFERROR(AVERAGEIF('Authority Index'!G$5:G$64,"*F*",'Authority Index'!I$5:I$64),0)</f>
        <v/>
      </c>
      <c r="D50" s="46">
        <f>'Authority Chain Completeness'!C38</f>
        <v/>
      </c>
      <c r="E50" s="43">
        <f>IFERROR((B50*C50)/100,0)</f>
        <v/>
      </c>
      <c r="F50" s="15">
        <f>IF(E50&gt;=15,"EXCELLENT",IF(E50&gt;=8,"GOOD",IF(E50&gt;=3,"FAIR","WEAK")))</f>
        <v/>
      </c>
    </row>
    <row r="53">
      <c r="A53" s="39" t="inlineStr">
        <is>
          <t>SECTION E: Global Authority Statistics</t>
        </is>
      </c>
    </row>
    <row r="54">
      <c r="A54" s="47" t="inlineStr">
        <is>
          <t>Total Authorities</t>
        </is>
      </c>
      <c r="B54" s="28">
        <f>COUNTA('Authority Index'!A5:A64)</f>
        <v/>
      </c>
    </row>
    <row r="55">
      <c r="A55" s="47" t="inlineStr">
        <is>
          <t>Overall Avg Weight</t>
        </is>
      </c>
      <c r="B55" s="48">
        <f>AVERAGE('Authority Index'!I5:I64)</f>
        <v/>
      </c>
    </row>
    <row r="56">
      <c r="A56" s="47" t="inlineStr">
        <is>
          <t>Highest Weight</t>
        </is>
      </c>
      <c r="B56" s="28">
        <f>MAX('Authority Index'!I5:I64)</f>
        <v/>
      </c>
    </row>
    <row r="57">
      <c r="A57" s="47" t="inlineStr">
        <is>
          <t>Lowest Weight</t>
        </is>
      </c>
      <c r="B57" s="28">
        <f>MIN('Authority Index'!I5:I64)</f>
        <v/>
      </c>
    </row>
    <row r="58">
      <c r="A58" s="47" t="inlineStr">
        <is>
          <t>Weight Std Dev</t>
        </is>
      </c>
      <c r="B58" s="48">
        <f>STDEV('Authority Index'!I5:I64)</f>
        <v/>
      </c>
    </row>
    <row r="59">
      <c r="A59" s="47" t="inlineStr">
        <is>
          <t>COMPLETE Chains</t>
        </is>
      </c>
      <c r="B59" s="28">
        <f>COUNTIF('Authority Chain Completeness'!G4:G31,"COMPLETE")</f>
        <v/>
      </c>
    </row>
    <row r="60">
      <c r="A60" s="47" t="inlineStr">
        <is>
          <t>STRONG Chains</t>
        </is>
      </c>
      <c r="B60" s="28">
        <f>COUNTIF('Authority Chain Completeness'!G4:G31,"STRONG")</f>
        <v/>
      </c>
    </row>
    <row r="61">
      <c r="A61" s="47" t="inlineStr">
        <is>
          <t>GAPS Chains</t>
        </is>
      </c>
      <c r="B61" s="28">
        <f>COUNTIF('Authority Chain Completeness'!G4:G31,"GAPS")</f>
        <v/>
      </c>
    </row>
    <row r="62">
      <c r="A62" s="47" t="inlineStr">
        <is>
          <t>Total Citations Used</t>
        </is>
      </c>
      <c r="B62" s="28">
        <f>'Filing Cross-Reference'!L65</f>
        <v/>
      </c>
    </row>
    <row r="63">
      <c r="A63" s="47" t="inlineStr">
        <is>
          <t>Unique Authorities w/ Weight ≥90</t>
        </is>
      </c>
      <c r="B63" s="28">
        <f>COUNTIF('Authority Index'!I5:I64,"&gt;="&amp;90)</f>
        <v/>
      </c>
    </row>
  </sheetData>
  <mergeCells count="6">
    <mergeCell ref="A16:E16"/>
    <mergeCell ref="A3:D3"/>
    <mergeCell ref="A30:D30"/>
    <mergeCell ref="A53:C53"/>
    <mergeCell ref="A1:H1"/>
    <mergeCell ref="A43:F43"/>
  </mergeCells>
  <conditionalFormatting sqref="C5:C13">
    <cfRule type="cellIs" priority="1" operator="greaterThanOrEqual" dxfId="0">
      <formula>85</formula>
    </cfRule>
    <cfRule type="cellIs" priority="2" operator="between" dxfId="1">
      <formula>75</formula>
      <formula>84.9</formula>
    </cfRule>
    <cfRule type="cellIs" priority="3" operator="lessThan" dxfId="2">
      <formula>75</formula>
    </cfRule>
  </conditionalFormatting>
  <conditionalFormatting sqref="D32:D40">
    <cfRule type="cellIs" priority="4" operator="equal" dxfId="0">
      <formula>"STRONG"</formula>
    </cfRule>
    <cfRule type="cellIs" priority="5" operator="equal" dxfId="1">
      <formula>"ADEQUATE"</formula>
    </cfRule>
    <cfRule type="cellIs" priority="6" operator="equal" dxfId="3">
      <formula>"WEAK"</formula>
    </cfRule>
  </conditionalFormatting>
  <conditionalFormatting sqref="F45:F50">
    <cfRule type="cellIs" priority="7" operator="equal" dxfId="0">
      <formula>"EXCELLENT"</formula>
    </cfRule>
    <cfRule type="cellIs" priority="8" operator="equal" dxfId="1">
      <formula>"GOOD"</formula>
    </cfRule>
    <cfRule type="cellIs" priority="9" operator="equal" dxfId="2">
      <formula>"FAIR"</formula>
    </cfRule>
    <cfRule type="cellIs" priority="10" operator="equal" dxfId="3">
      <formula>"WEAK"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2026-03-12T13:48:47Z</dcterms:created>
  <dcterms:modified xmlns:dcterms="http://purl.org/dc/terms/" xmlns:xsi="http://www.w3.org/2001/XMLSchema-instance" xsi:type="dcterms:W3CDTF">2026-03-12T13:48:47Z</dcterms:modified>
</cp:coreProperties>
</file>