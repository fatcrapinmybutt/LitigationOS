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ventory" sheetId="1" state="visible" r:id="rId1"/>
    <sheet xmlns:r="http://schemas.openxmlformats.org/officeDocument/2006/relationships" name="Drive Manifest" sheetId="2" state="visible" r:id="rId2"/>
    <sheet xmlns:r="http://schemas.openxmlformats.org/officeDocument/2006/relationships" name="Exhibit Index" sheetId="3" state="visible" r:id="rId3"/>
    <sheet xmlns:r="http://schemas.openxmlformats.org/officeDocument/2006/relationships" name="Dedup Report" sheetId="4" state="visible" r:id="rId4"/>
    <sheet xmlns:r="http://schemas.openxmlformats.org/officeDocument/2006/relationships" name="Evidence Strength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GB&quot;"/>
    <numFmt numFmtId="165" formatCode="0.0"/>
  </numFmts>
  <fonts count="16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color rgb="00475569"/>
      <sz val="11"/>
    </font>
    <font>
      <name val="Calibri"/>
      <b val="1"/>
      <color rgb="00FFFFFF"/>
      <sz val="11"/>
    </font>
    <font>
      <name val="Calibri"/>
      <color rgb="001E40AF"/>
      <sz val="11"/>
    </font>
    <font>
      <name val="Calibri"/>
      <color rgb="00000000"/>
      <sz val="11"/>
    </font>
    <font>
      <name val="Calibri"/>
      <b val="1"/>
      <color rgb="000F172A"/>
      <sz val="11"/>
    </font>
    <font>
      <name val="Consolas"/>
      <color rgb="001E40AF"/>
      <sz val="10"/>
    </font>
    <font>
      <name val="Consolas"/>
      <b val="1"/>
      <color rgb="000F172A"/>
      <sz val="10"/>
    </font>
    <font>
      <name val="Calibri"/>
      <i val="1"/>
      <color rgb="0094A3B8"/>
      <sz val="11"/>
    </font>
    <font>
      <name val="Calibri"/>
      <b val="1"/>
      <color rgb="004F46E5"/>
      <sz val="11"/>
    </font>
    <font>
      <name val="Calibri"/>
      <b val="1"/>
      <color rgb="00059669"/>
      <sz val="11"/>
    </font>
    <font>
      <name val="Calibri"/>
      <b val="1"/>
      <color rgb="00E11D48"/>
      <sz val="11"/>
    </font>
    <font>
      <name val="Calibri"/>
      <b val="1"/>
      <color rgb="00D97706"/>
      <sz val="11"/>
    </font>
    <font>
      <name val="Calibri"/>
      <b val="1"/>
      <color rgb="000284C7"/>
      <sz val="11"/>
    </font>
    <font>
      <name val="Calibri"/>
      <b val="1"/>
      <color rgb="0015803D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</fills>
  <borders count="8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4F46E5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D97706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059669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E11D48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7C3AED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0284C7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9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9" fontId="5" fillId="4" borderId="1" applyAlignment="1" pivotButton="0" quotePrefix="0" xfId="0">
      <alignment horizontal="center" vertical="center"/>
    </xf>
    <xf numFmtId="0" fontId="6" fillId="3" borderId="1" pivotButton="0" quotePrefix="0" xfId="0"/>
    <xf numFmtId="3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9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3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8" fillId="3" borderId="1" pivotButton="0" quotePrefix="0" xfId="0"/>
    <xf numFmtId="3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9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/>
    </xf>
    <xf numFmtId="9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1" fillId="4" borderId="4" applyAlignment="1" pivotButton="0" quotePrefix="0" xfId="0">
      <alignment vertical="center"/>
    </xf>
    <xf numFmtId="165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13" fillId="4" borderId="3" applyAlignment="1" pivotButton="0" quotePrefix="0" xfId="0">
      <alignment vertical="center"/>
    </xf>
    <xf numFmtId="0" fontId="14" fillId="0" borderId="7" applyAlignment="1" pivotButton="0" quotePrefix="0" xfId="0">
      <alignment vertical="center"/>
    </xf>
    <xf numFmtId="0" fontId="15" fillId="0" borderId="0" pivotButton="0" quotePrefix="0" xfId="0"/>
    <xf numFmtId="3" fontId="15" fillId="0" borderId="0" pivotButton="0" quotePrefix="0" xfId="0"/>
    <xf numFmtId="9" fontId="15" fillId="0" borderId="0" pivotButton="0" quotePrefix="0" xfId="0"/>
  </cellXfs>
  <cellStyles count="1">
    <cellStyle name="Normal" xfId="0" builtinId="0" hidden="0"/>
  </cellStyles>
  <dxfs count="7">
    <dxf>
      <font>
        <name val="Calibri"/>
        <b val="1"/>
        <color rgb="00166534"/>
        <sz val="11"/>
      </font>
      <fill>
        <patternFill patternType="solid">
          <fgColor rgb="00DCFCE7"/>
          <bgColor rgb="00DCFCE7"/>
        </patternFill>
      </fill>
    </dxf>
    <dxf>
      <font>
        <name val="Calibri"/>
        <b val="1"/>
        <color rgb="0092400E"/>
        <sz val="11"/>
      </font>
      <fill>
        <patternFill patternType="solid">
          <fgColor rgb="00FEF3C7"/>
          <bgColor rgb="00FEF3C7"/>
        </patternFill>
      </fill>
    </dxf>
    <dxf>
      <font>
        <name val="Calibri"/>
        <b val="1"/>
        <color rgb="00991B1B"/>
        <sz val="11"/>
      </font>
      <fill>
        <patternFill patternType="solid">
          <fgColor rgb="00FEE2E2"/>
          <bgColor rgb="00FEE2E2"/>
        </patternFill>
      </fill>
    </dxf>
    <dxf>
      <font>
        <name val="Calibri"/>
        <b val="1"/>
        <color rgb="00166534"/>
        <sz val="12"/>
      </font>
      <fill>
        <patternFill patternType="solid">
          <fgColor rgb="00DCFCE7"/>
          <bgColor rgb="00DCFCE7"/>
        </patternFill>
      </fill>
    </dxf>
    <dxf>
      <font>
        <name val="Calibri"/>
        <b val="1"/>
        <color rgb="001E40AF"/>
        <sz val="12"/>
      </font>
      <fill>
        <patternFill patternType="solid">
          <fgColor rgb="00DBEAFE"/>
          <bgColor rgb="00DBEAFE"/>
        </patternFill>
      </fill>
    </dxf>
    <dxf>
      <font>
        <name val="Calibri"/>
        <b val="1"/>
        <color rgb="0092400E"/>
        <sz val="12"/>
      </font>
      <fill>
        <patternFill patternType="solid">
          <fgColor rgb="00FEF3C7"/>
          <bgColor rgb="00FEF3C7"/>
        </patternFill>
      </fill>
    </dxf>
    <dxf>
      <font>
        <name val="Calibri"/>
        <b val="1"/>
        <color rgb="00991B1B"/>
        <sz val="12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8" customWidth="1" min="7" max="7"/>
    <col width="14" customWidth="1" min="8" max="8"/>
    <col width="14" customWidth="1" min="9" max="9"/>
  </cols>
  <sheetData>
    <row r="1" ht="36" customHeight="1">
      <c r="A1" s="1" t="inlineStr">
        <is>
          <t>Evidence Chain of Custody — Pigors v. All</t>
        </is>
      </c>
    </row>
    <row r="2" ht="20" customHeight="1">
      <c r="A2" s="2" t="inlineStr">
        <is>
          <t>Master evidence catalog — LitigationOS pipeline</t>
        </is>
      </c>
    </row>
    <row r="4">
      <c r="A4" s="3" t="inlineStr">
        <is>
          <t>Category</t>
        </is>
      </c>
      <c r="B4" s="3" t="inlineStr">
        <is>
          <t>Source Drive</t>
        </is>
      </c>
      <c r="C4" s="3" t="inlineStr">
        <is>
          <t>File Count</t>
        </is>
      </c>
      <c r="D4" s="3" t="inlineStr">
        <is>
          <t>Size (GB)</t>
        </is>
      </c>
      <c r="E4" s="3" t="inlineStr">
        <is>
          <t>Ingested</t>
        </is>
      </c>
      <c r="F4" s="3" t="inlineStr">
        <is>
          <t>Classified</t>
        </is>
      </c>
      <c r="G4" s="3" t="inlineStr">
        <is>
          <t>Linked to Claims</t>
        </is>
      </c>
      <c r="H4" s="3" t="inlineStr">
        <is>
          <t>Orphan Count</t>
        </is>
      </c>
      <c r="I4" s="3" t="inlineStr">
        <is>
          <t>Coverage %</t>
        </is>
      </c>
    </row>
    <row r="5">
      <c r="A5" s="4" t="inlineStr">
        <is>
          <t>ChatGPT Exports</t>
        </is>
      </c>
      <c r="B5" s="4" t="inlineStr">
        <is>
          <t>D:\</t>
        </is>
      </c>
      <c r="C5" s="5" t="n">
        <v>2647</v>
      </c>
      <c r="D5" s="6" t="n">
        <v>2.2</v>
      </c>
      <c r="E5" s="5" t="n">
        <v>2359</v>
      </c>
      <c r="F5" s="5" t="n">
        <v>2100</v>
      </c>
      <c r="G5" s="5" t="n">
        <v>1800</v>
      </c>
      <c r="H5" s="7">
        <f>C5-G5</f>
        <v/>
      </c>
      <c r="I5" s="8">
        <f>IF(C5=0,0,G5/C5)</f>
        <v/>
      </c>
    </row>
    <row r="6">
      <c r="A6" s="9" t="inlineStr">
        <is>
          <t>Police Reports</t>
        </is>
      </c>
      <c r="B6" s="9" t="inlineStr">
        <is>
          <t>C:\</t>
        </is>
      </c>
      <c r="C6" s="10" t="n">
        <v>47</v>
      </c>
      <c r="D6" s="11" t="n">
        <v>0.1</v>
      </c>
      <c r="E6" s="10" t="n">
        <v>47</v>
      </c>
      <c r="F6" s="10" t="n">
        <v>47</v>
      </c>
      <c r="G6" s="10" t="n">
        <v>47</v>
      </c>
      <c r="H6" s="12">
        <f>C6-G6</f>
        <v/>
      </c>
      <c r="I6" s="13">
        <f>IF(C6=0,0,G6/C6)</f>
        <v/>
      </c>
    </row>
    <row r="7">
      <c r="A7" s="4" t="inlineStr">
        <is>
          <t>Court Orders</t>
        </is>
      </c>
      <c r="B7" s="4" t="inlineStr">
        <is>
          <t>C:\</t>
        </is>
      </c>
      <c r="C7" s="5" t="n">
        <v>887</v>
      </c>
      <c r="D7" s="6" t="n">
        <v>0.5</v>
      </c>
      <c r="E7" s="5" t="n">
        <v>887</v>
      </c>
      <c r="F7" s="5" t="n">
        <v>887</v>
      </c>
      <c r="G7" s="5" t="n">
        <v>700</v>
      </c>
      <c r="H7" s="7">
        <f>C7-G7</f>
        <v/>
      </c>
      <c r="I7" s="8">
        <f>IF(C7=0,0,G7/C7)</f>
        <v/>
      </c>
    </row>
    <row r="8">
      <c r="A8" s="9" t="inlineStr">
        <is>
          <t>Photos/Screenshots</t>
        </is>
      </c>
      <c r="B8" s="9" t="inlineStr">
        <is>
          <t>F:\, G:\</t>
        </is>
      </c>
      <c r="C8" s="10" t="n">
        <v>3200</v>
      </c>
      <c r="D8" s="11" t="n">
        <v>4.5</v>
      </c>
      <c r="E8" s="10" t="n">
        <v>2100</v>
      </c>
      <c r="F8" s="10" t="n">
        <v>1800</v>
      </c>
      <c r="G8" s="10" t="n">
        <v>1200</v>
      </c>
      <c r="H8" s="12">
        <f>C8-G8</f>
        <v/>
      </c>
      <c r="I8" s="13">
        <f>IF(C8=0,0,G8/C8)</f>
        <v/>
      </c>
    </row>
    <row r="9">
      <c r="A9" s="4" t="inlineStr">
        <is>
          <t>Medical Records</t>
        </is>
      </c>
      <c r="B9" s="4" t="inlineStr">
        <is>
          <t>C:\</t>
        </is>
      </c>
      <c r="C9" s="5" t="n">
        <v>23</v>
      </c>
      <c r="D9" s="6" t="n">
        <v>0.05</v>
      </c>
      <c r="E9" s="5" t="n">
        <v>23</v>
      </c>
      <c r="F9" s="5" t="n">
        <v>23</v>
      </c>
      <c r="G9" s="5" t="n">
        <v>23</v>
      </c>
      <c r="H9" s="7">
        <f>C9-G9</f>
        <v/>
      </c>
      <c r="I9" s="8">
        <f>IF(C9=0,0,G9/C9)</f>
        <v/>
      </c>
    </row>
    <row r="10">
      <c r="A10" s="9" t="inlineStr">
        <is>
          <t>Financial Records</t>
        </is>
      </c>
      <c r="B10" s="9" t="inlineStr">
        <is>
          <t>C:\</t>
        </is>
      </c>
      <c r="C10" s="10" t="n">
        <v>156</v>
      </c>
      <c r="D10" s="11" t="n">
        <v>0.2</v>
      </c>
      <c r="E10" s="10" t="n">
        <v>156</v>
      </c>
      <c r="F10" s="10" t="n">
        <v>120</v>
      </c>
      <c r="G10" s="10" t="n">
        <v>95</v>
      </c>
      <c r="H10" s="12">
        <f>C10-G10</f>
        <v/>
      </c>
      <c r="I10" s="13">
        <f>IF(C10=0,0,G10/C10)</f>
        <v/>
      </c>
    </row>
    <row r="11">
      <c r="A11" s="4" t="inlineStr">
        <is>
          <t>Housing Documents</t>
        </is>
      </c>
      <c r="B11" s="4" t="inlineStr">
        <is>
          <t>C:\</t>
        </is>
      </c>
      <c r="C11" s="5" t="n">
        <v>312</v>
      </c>
      <c r="D11" s="6" t="n">
        <v>0.4</v>
      </c>
      <c r="E11" s="5" t="n">
        <v>312</v>
      </c>
      <c r="F11" s="5" t="n">
        <v>290</v>
      </c>
      <c r="G11" s="5" t="n">
        <v>250</v>
      </c>
      <c r="H11" s="7">
        <f>C11-G11</f>
        <v/>
      </c>
      <c r="I11" s="8">
        <f>IF(C11=0,0,G11/C11)</f>
        <v/>
      </c>
    </row>
    <row r="12">
      <c r="A12" s="9" t="inlineStr">
        <is>
          <t>Email/Messages</t>
        </is>
      </c>
      <c r="B12" s="9" t="inlineStr">
        <is>
          <t>D:\</t>
        </is>
      </c>
      <c r="C12" s="10" t="n">
        <v>1450</v>
      </c>
      <c r="D12" s="11" t="n">
        <v>0.8</v>
      </c>
      <c r="E12" s="10" t="n">
        <v>800</v>
      </c>
      <c r="F12" s="10" t="n">
        <v>600</v>
      </c>
      <c r="G12" s="10" t="n">
        <v>400</v>
      </c>
      <c r="H12" s="12">
        <f>C12-G12</f>
        <v/>
      </c>
      <c r="I12" s="13">
        <f>IF(C12=0,0,G12/C12)</f>
        <v/>
      </c>
    </row>
    <row r="13">
      <c r="A13" s="4" t="inlineStr">
        <is>
          <t>Affidavits</t>
        </is>
      </c>
      <c r="B13" s="4" t="inlineStr">
        <is>
          <t>C:\</t>
        </is>
      </c>
      <c r="C13" s="5" t="n">
        <v>63</v>
      </c>
      <c r="D13" s="6" t="n">
        <v>0.1</v>
      </c>
      <c r="E13" s="5" t="n">
        <v>63</v>
      </c>
      <c r="F13" s="5" t="n">
        <v>63</v>
      </c>
      <c r="G13" s="5" t="n">
        <v>60</v>
      </c>
      <c r="H13" s="7">
        <f>C13-G13</f>
        <v/>
      </c>
      <c r="I13" s="8">
        <f>IF(C13=0,0,G13/C13)</f>
        <v/>
      </c>
    </row>
    <row r="14">
      <c r="A14" s="9" t="inlineStr">
        <is>
          <t>Motions Filed</t>
        </is>
      </c>
      <c r="B14" s="9" t="inlineStr">
        <is>
          <t>C:\</t>
        </is>
      </c>
      <c r="C14" s="10" t="n">
        <v>1693</v>
      </c>
      <c r="D14" s="11" t="n">
        <v>1.5</v>
      </c>
      <c r="E14" s="10" t="n">
        <v>1693</v>
      </c>
      <c r="F14" s="10" t="n">
        <v>1500</v>
      </c>
      <c r="G14" s="10" t="n">
        <v>1200</v>
      </c>
      <c r="H14" s="12">
        <f>C14-G14</f>
        <v/>
      </c>
      <c r="I14" s="13">
        <f>IF(C14=0,0,G14/C14)</f>
        <v/>
      </c>
    </row>
    <row r="15">
      <c r="A15" s="4" t="inlineStr">
        <is>
          <t>Hearing Transcripts</t>
        </is>
      </c>
      <c r="B15" s="4" t="inlineStr">
        <is>
          <t>C:\</t>
        </is>
      </c>
      <c r="C15" s="5" t="n">
        <v>15</v>
      </c>
      <c r="D15" s="6" t="n">
        <v>0.3</v>
      </c>
      <c r="E15" s="5" t="n">
        <v>15</v>
      </c>
      <c r="F15" s="5" t="n">
        <v>15</v>
      </c>
      <c r="G15" s="5" t="n">
        <v>15</v>
      </c>
      <c r="H15" s="7">
        <f>C15-G15</f>
        <v/>
      </c>
      <c r="I15" s="8">
        <f>IF(C15=0,0,G15/C15)</f>
        <v/>
      </c>
    </row>
    <row r="16">
      <c r="A16" s="9" t="inlineStr">
        <is>
          <t>School Records</t>
        </is>
      </c>
      <c r="B16" s="9" t="inlineStr">
        <is>
          <t>C:\</t>
        </is>
      </c>
      <c r="C16" s="10" t="n">
        <v>8</v>
      </c>
      <c r="D16" s="11" t="n">
        <v>0.02</v>
      </c>
      <c r="E16" s="10" t="n">
        <v>8</v>
      </c>
      <c r="F16" s="10" t="n">
        <v>8</v>
      </c>
      <c r="G16" s="10" t="n">
        <v>8</v>
      </c>
      <c r="H16" s="12">
        <f>C16-G16</f>
        <v/>
      </c>
      <c r="I16" s="13">
        <f>IF(C16=0,0,G16/C16)</f>
        <v/>
      </c>
    </row>
    <row r="17">
      <c r="A17" s="4" t="inlineStr">
        <is>
          <t>EGLE/Environmental</t>
        </is>
      </c>
      <c r="B17" s="4" t="inlineStr">
        <is>
          <t>C:\</t>
        </is>
      </c>
      <c r="C17" s="5" t="n">
        <v>12</v>
      </c>
      <c r="D17" s="6" t="n">
        <v>0.05</v>
      </c>
      <c r="E17" s="5" t="n">
        <v>12</v>
      </c>
      <c r="F17" s="5" t="n">
        <v>12</v>
      </c>
      <c r="G17" s="5" t="n">
        <v>12</v>
      </c>
      <c r="H17" s="7">
        <f>C17-G17</f>
        <v/>
      </c>
      <c r="I17" s="8">
        <f>IF(C17=0,0,G17/C17)</f>
        <v/>
      </c>
    </row>
    <row r="18">
      <c r="A18" s="9" t="inlineStr">
        <is>
          <t>Tax Records</t>
        </is>
      </c>
      <c r="B18" s="9" t="inlineStr">
        <is>
          <t>C:\</t>
        </is>
      </c>
      <c r="C18" s="10" t="n">
        <v>45</v>
      </c>
      <c r="D18" s="11" t="n">
        <v>0.1</v>
      </c>
      <c r="E18" s="10" t="n">
        <v>45</v>
      </c>
      <c r="F18" s="10" t="n">
        <v>30</v>
      </c>
      <c r="G18" s="10" t="n">
        <v>20</v>
      </c>
      <c r="H18" s="12">
        <f>C18-G18</f>
        <v/>
      </c>
      <c r="I18" s="13">
        <f>IF(C18=0,0,G18/C18)</f>
        <v/>
      </c>
    </row>
    <row r="19">
      <c r="A19" s="4" t="inlineStr">
        <is>
          <t>Witness Statements</t>
        </is>
      </c>
      <c r="B19" s="4" t="inlineStr">
        <is>
          <t>C:\</t>
        </is>
      </c>
      <c r="C19" s="5" t="n">
        <v>18</v>
      </c>
      <c r="D19" s="6" t="n">
        <v>0.05</v>
      </c>
      <c r="E19" s="5" t="n">
        <v>18</v>
      </c>
      <c r="F19" s="5" t="n">
        <v>18</v>
      </c>
      <c r="G19" s="5" t="n">
        <v>15</v>
      </c>
      <c r="H19" s="7">
        <f>C19-G19</f>
        <v/>
      </c>
      <c r="I19" s="8">
        <f>IF(C19=0,0,G19/C19)</f>
        <v/>
      </c>
    </row>
    <row r="20">
      <c r="A20" s="14" t="inlineStr">
        <is>
          <t>TOTALS</t>
        </is>
      </c>
      <c r="B20" s="14" t="inlineStr"/>
      <c r="C20" s="15">
        <f>SUM(C5:C19)</f>
        <v/>
      </c>
      <c r="D20" s="16">
        <f>SUM(D5:D19)</f>
        <v/>
      </c>
      <c r="E20" s="15">
        <f>SUM(E5:E19)</f>
        <v/>
      </c>
      <c r="F20" s="15">
        <f>SUM(F5:F19)</f>
        <v/>
      </c>
      <c r="G20" s="15">
        <f>SUM(G5:G19)</f>
        <v/>
      </c>
      <c r="H20" s="15">
        <f>SUM(H5:H19)</f>
        <v/>
      </c>
      <c r="I20" s="17">
        <f>IF(C20=0,0,G20/C20)</f>
        <v/>
      </c>
    </row>
  </sheetData>
  <mergeCells count="2">
    <mergeCell ref="A1:I1"/>
    <mergeCell ref="A2:I2"/>
  </mergeCells>
  <conditionalFormatting sqref="I5:I19">
    <cfRule type="cellIs" priority="1" operator="greaterThanOrEqual" dxfId="0">
      <formula>0.9</formula>
    </cfRule>
    <cfRule type="cellIs" priority="2" operator="between" dxfId="1">
      <formula>0.6</formula>
      <formula>0.8999</formula>
    </cfRule>
    <cfRule type="cellIs" priority="3" operator="lessThan" dxfId="2">
      <formula>0.6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6" customWidth="1" min="5" max="5"/>
    <col width="18" customWidth="1" min="6" max="6"/>
    <col width="12" customWidth="1" min="7" max="7"/>
  </cols>
  <sheetData>
    <row r="1" ht="36" customHeight="1">
      <c r="A1" s="1" t="inlineStr">
        <is>
          <t>Drive Manifest — 6-Drive Overview</t>
        </is>
      </c>
    </row>
    <row r="3">
      <c r="A3" s="3" t="inlineStr">
        <is>
          <t>Drive</t>
        </is>
      </c>
      <c r="B3" s="3" t="inlineStr">
        <is>
          <t>Total Files</t>
        </is>
      </c>
      <c r="C3" s="3" t="inlineStr">
        <is>
          <t>Total Size (GB)</t>
        </is>
      </c>
      <c r="D3" s="3" t="inlineStr">
        <is>
          <t>Litigation Files</t>
        </is>
      </c>
      <c r="E3" s="3" t="inlineStr">
        <is>
          <t>Non-Litigation</t>
        </is>
      </c>
      <c r="F3" s="3" t="inlineStr">
        <is>
          <t>Duplicates</t>
        </is>
      </c>
      <c r="G3" s="3" t="inlineStr">
        <is>
          <t>Unique</t>
        </is>
      </c>
    </row>
    <row r="4">
      <c r="A4" s="4" t="inlineStr">
        <is>
          <t>C:\</t>
        </is>
      </c>
      <c r="B4" s="5" t="n">
        <v>551000</v>
      </c>
      <c r="C4" s="6" t="n">
        <v>150</v>
      </c>
      <c r="D4" s="5" t="n">
        <v>125000</v>
      </c>
      <c r="E4" s="7">
        <f>B4-D4</f>
        <v/>
      </c>
      <c r="F4" s="18" t="inlineStr">
        <is>
          <t>TBD</t>
        </is>
      </c>
      <c r="G4" s="18" t="inlineStr">
        <is>
          <t>TBD</t>
        </is>
      </c>
    </row>
    <row r="5">
      <c r="A5" s="9" t="inlineStr">
        <is>
          <t>D:\</t>
        </is>
      </c>
      <c r="B5" s="10" t="n">
        <v>46000</v>
      </c>
      <c r="C5" s="11" t="n">
        <v>11</v>
      </c>
      <c r="D5" s="10" t="n">
        <v>4097</v>
      </c>
      <c r="E5" s="12">
        <f>B5-D5</f>
        <v/>
      </c>
      <c r="F5" s="19" t="inlineStr">
        <is>
          <t>TBD</t>
        </is>
      </c>
      <c r="G5" s="19" t="inlineStr">
        <is>
          <t>TBD</t>
        </is>
      </c>
    </row>
    <row r="6">
      <c r="A6" s="4" t="inlineStr">
        <is>
          <t>F:\</t>
        </is>
      </c>
      <c r="B6" s="5" t="n">
        <v>68000</v>
      </c>
      <c r="C6" s="6" t="n">
        <v>7</v>
      </c>
      <c r="D6" s="5" t="n">
        <v>3200</v>
      </c>
      <c r="E6" s="7">
        <f>B6-D6</f>
        <v/>
      </c>
      <c r="F6" s="18" t="inlineStr">
        <is>
          <t>TBD</t>
        </is>
      </c>
      <c r="G6" s="18" t="inlineStr">
        <is>
          <t>TBD</t>
        </is>
      </c>
    </row>
    <row r="7">
      <c r="A7" s="9" t="inlineStr">
        <is>
          <t>G:\</t>
        </is>
      </c>
      <c r="B7" s="10" t="n">
        <v>19000</v>
      </c>
      <c r="C7" s="11" t="n">
        <v>5</v>
      </c>
      <c r="D7" s="10" t="n">
        <v>1500</v>
      </c>
      <c r="E7" s="12">
        <f>B7-D7</f>
        <v/>
      </c>
      <c r="F7" s="19" t="inlineStr">
        <is>
          <t>TBD</t>
        </is>
      </c>
      <c r="G7" s="19" t="inlineStr">
        <is>
          <t>TBD</t>
        </is>
      </c>
    </row>
    <row r="8">
      <c r="A8" s="4" t="inlineStr">
        <is>
          <t>H:\</t>
        </is>
      </c>
      <c r="B8" s="5" t="n">
        <v>36000</v>
      </c>
      <c r="C8" s="6" t="n">
        <v>4</v>
      </c>
      <c r="D8" s="5" t="n">
        <v>18888</v>
      </c>
      <c r="E8" s="7">
        <f>B8-D8</f>
        <v/>
      </c>
      <c r="F8" s="18" t="inlineStr">
        <is>
          <t>39,895 moved</t>
        </is>
      </c>
      <c r="G8" s="18" t="inlineStr">
        <is>
          <t>TBD</t>
        </is>
      </c>
    </row>
    <row r="9">
      <c r="A9" s="9" t="inlineStr">
        <is>
          <t>I:\</t>
        </is>
      </c>
      <c r="B9" s="10" t="n">
        <v>752000</v>
      </c>
      <c r="C9" s="11" t="n">
        <v>348</v>
      </c>
      <c r="D9" s="10" t="n">
        <v>10288</v>
      </c>
      <c r="E9" s="12">
        <f>B9-D9</f>
        <v/>
      </c>
      <c r="F9" s="19" t="inlineStr">
        <is>
          <t>10,288</t>
        </is>
      </c>
      <c r="G9" s="19" t="inlineStr">
        <is>
          <t>TBD</t>
        </is>
      </c>
    </row>
    <row r="10">
      <c r="A10" s="14" t="inlineStr">
        <is>
          <t>TOTALS</t>
        </is>
      </c>
      <c r="B10" s="15">
        <f>SUM(B4:B9)</f>
        <v/>
      </c>
      <c r="C10" s="16">
        <f>SUM(C4:C9)</f>
        <v/>
      </c>
      <c r="D10" s="15">
        <f>SUM(D4:D9)</f>
        <v/>
      </c>
      <c r="E10" s="15">
        <f>SUM(E4:E9)</f>
        <v/>
      </c>
      <c r="F10" s="14" t="inlineStr"/>
      <c r="G10" s="1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J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8" customWidth="1" min="4" max="4"/>
    <col width="48" customWidth="1" min="5" max="5"/>
    <col width="16" customWidth="1" min="6" max="6"/>
    <col width="10" customWidth="1" min="7" max="7"/>
    <col width="28" customWidth="1" min="8" max="8"/>
    <col width="18" customWidth="1" min="9" max="9"/>
    <col width="12" customWidth="1" min="10" max="10"/>
  </cols>
  <sheetData>
    <row r="1" ht="36" customHeight="1">
      <c r="A1" s="1" t="inlineStr">
        <is>
          <t>Exhibit Index — Bates-Stamped Tracking</t>
        </is>
      </c>
    </row>
    <row r="3">
      <c r="A3" s="3" t="inlineStr">
        <is>
          <t>Exhibit #</t>
        </is>
      </c>
      <c r="B3" s="3" t="inlineStr">
        <is>
          <t>Bates Start</t>
        </is>
      </c>
      <c r="C3" s="3" t="inlineStr">
        <is>
          <t>Bates End</t>
        </is>
      </c>
      <c r="D3" s="3" t="inlineStr">
        <is>
          <t>Pages</t>
        </is>
      </c>
      <c r="E3" s="3" t="inlineStr">
        <is>
          <t>Description</t>
        </is>
      </c>
      <c r="F3" s="3" t="inlineStr">
        <is>
          <t>Category</t>
        </is>
      </c>
      <c r="G3" s="3" t="inlineStr">
        <is>
          <t>Lane</t>
        </is>
      </c>
      <c r="H3" s="3" t="inlineStr">
        <is>
          <t>Source File</t>
        </is>
      </c>
      <c r="I3" s="3" t="inlineStr">
        <is>
          <t>Witness</t>
        </is>
      </c>
      <c r="J3" s="3" t="inlineStr">
        <is>
          <t>Admitted?</t>
        </is>
      </c>
    </row>
    <row r="4">
      <c r="A4" s="20" t="inlineStr">
        <is>
          <t>Exhibit A</t>
        </is>
      </c>
      <c r="B4" s="21" t="inlineStr">
        <is>
          <t>PIGORS-0001</t>
        </is>
      </c>
      <c r="C4" s="21" t="inlineStr">
        <is>
          <t>PIGORS-0015</t>
        </is>
      </c>
      <c r="D4" s="22" t="n">
        <v>15</v>
      </c>
      <c r="E4" s="23" t="inlineStr">
        <is>
          <t>Master Chronological Timeline</t>
        </is>
      </c>
      <c r="F4" s="4" t="inlineStr">
        <is>
          <t>Timeline</t>
        </is>
      </c>
      <c r="G4" s="24" t="inlineStr">
        <is>
          <t>A</t>
        </is>
      </c>
      <c r="H4" s="4" t="inlineStr">
        <is>
          <t>C:\...\timeline.md</t>
        </is>
      </c>
      <c r="I4" s="4" t="inlineStr">
        <is>
          <t>Pigors</t>
        </is>
      </c>
      <c r="J4" s="25" t="inlineStr"/>
    </row>
    <row r="5">
      <c r="A5" s="26" t="inlineStr">
        <is>
          <t>Exhibit B</t>
        </is>
      </c>
      <c r="B5" s="27" t="inlineStr">
        <is>
          <t>PIGORS-0016</t>
        </is>
      </c>
      <c r="C5" s="27" t="inlineStr">
        <is>
          <t>PIGORS-0048</t>
        </is>
      </c>
      <c r="D5" s="28" t="n">
        <v>33</v>
      </c>
      <c r="E5" s="29" t="inlineStr">
        <is>
          <t>Parenting Time Denial Log</t>
        </is>
      </c>
      <c r="F5" s="9" t="inlineStr">
        <is>
          <t>Custody</t>
        </is>
      </c>
      <c r="G5" s="30" t="inlineStr">
        <is>
          <t>A</t>
        </is>
      </c>
      <c r="H5" s="9" t="inlineStr"/>
      <c r="I5" s="9" t="inlineStr">
        <is>
          <t>Pigors</t>
        </is>
      </c>
      <c r="J5" s="31" t="inlineStr"/>
    </row>
    <row r="6">
      <c r="A6" s="20" t="inlineStr">
        <is>
          <t>Exhibit C</t>
        </is>
      </c>
      <c r="B6" s="21" t="inlineStr">
        <is>
          <t>PIGORS-0049</t>
        </is>
      </c>
      <c r="C6" s="21" t="inlineStr">
        <is>
          <t>PIGORS-0060</t>
        </is>
      </c>
      <c r="D6" s="22" t="n">
        <v>12</v>
      </c>
      <c r="E6" s="23" t="inlineStr">
        <is>
          <t>Police Reports (NSPD)</t>
        </is>
      </c>
      <c r="F6" s="4" t="inlineStr">
        <is>
          <t>Police</t>
        </is>
      </c>
      <c r="G6" s="24" t="inlineStr">
        <is>
          <t>A</t>
        </is>
      </c>
      <c r="H6" s="4" t="inlineStr"/>
      <c r="I6" s="4" t="inlineStr">
        <is>
          <t>NSPD Officers</t>
        </is>
      </c>
      <c r="J6" s="25" t="inlineStr"/>
    </row>
    <row r="7">
      <c r="A7" s="26" t="inlineStr">
        <is>
          <t>Exhibit D</t>
        </is>
      </c>
      <c r="B7" s="27" t="inlineStr">
        <is>
          <t>PIGORS-0061</t>
        </is>
      </c>
      <c r="C7" s="27" t="inlineStr">
        <is>
          <t>PIGORS-0080</t>
        </is>
      </c>
      <c r="D7" s="28" t="n">
        <v>20</v>
      </c>
      <c r="E7" s="29" t="inlineStr">
        <is>
          <t>Albert Watson Intimidation Log (305 incidents)</t>
        </is>
      </c>
      <c r="F7" s="9" t="inlineStr">
        <is>
          <t>Intimidation</t>
        </is>
      </c>
      <c r="G7" s="30" t="inlineStr">
        <is>
          <t>A</t>
        </is>
      </c>
      <c r="H7" s="9" t="inlineStr"/>
      <c r="I7" s="9" t="inlineStr">
        <is>
          <t>Pigors</t>
        </is>
      </c>
      <c r="J7" s="31" t="inlineStr"/>
    </row>
    <row r="8">
      <c r="A8" s="20" t="inlineStr">
        <is>
          <t>Exhibit E</t>
        </is>
      </c>
      <c r="B8" s="21" t="inlineStr">
        <is>
          <t>PIGORS-0081</t>
        </is>
      </c>
      <c r="C8" s="21" t="inlineStr">
        <is>
          <t>PIGORS-0095</t>
        </is>
      </c>
      <c r="D8" s="22" t="n">
        <v>15</v>
      </c>
      <c r="E8" s="23" t="inlineStr">
        <is>
          <t>CPS Investigation Results (0 findings)</t>
        </is>
      </c>
      <c r="F8" s="4" t="inlineStr">
        <is>
          <t>CPS</t>
        </is>
      </c>
      <c r="G8" s="24" t="inlineStr">
        <is>
          <t>A, D</t>
        </is>
      </c>
      <c r="H8" s="4" t="inlineStr"/>
      <c r="I8" s="4" t="inlineStr">
        <is>
          <t>CPS Investigator</t>
        </is>
      </c>
      <c r="J8" s="25" t="inlineStr"/>
    </row>
    <row r="9">
      <c r="A9" s="26" t="inlineStr">
        <is>
          <t>Exhibit F</t>
        </is>
      </c>
      <c r="B9" s="27" t="inlineStr">
        <is>
          <t>PIGORS-0096</t>
        </is>
      </c>
      <c r="C9" s="27" t="inlineStr">
        <is>
          <t>PIGORS-0120</t>
        </is>
      </c>
      <c r="D9" s="28" t="n">
        <v>25</v>
      </c>
      <c r="E9" s="29" t="inlineStr">
        <is>
          <t>Drug Test Results (NEGATIVE)</t>
        </is>
      </c>
      <c r="F9" s="9" t="inlineStr">
        <is>
          <t>Drug Test</t>
        </is>
      </c>
      <c r="G9" s="30" t="inlineStr">
        <is>
          <t>A, D</t>
        </is>
      </c>
      <c r="H9" s="9" t="inlineStr"/>
      <c r="I9" s="9" t="inlineStr">
        <is>
          <t>Lab Technician</t>
        </is>
      </c>
      <c r="J9" s="31" t="inlineStr"/>
    </row>
    <row r="10">
      <c r="A10" s="20" t="inlineStr">
        <is>
          <t>Exhibit G</t>
        </is>
      </c>
      <c r="B10" s="21" t="inlineStr">
        <is>
          <t>PIGORS-0121</t>
        </is>
      </c>
      <c r="C10" s="21" t="inlineStr">
        <is>
          <t>PIGORS-0150</t>
        </is>
      </c>
      <c r="D10" s="22" t="n">
        <v>30</v>
      </c>
      <c r="E10" s="23" t="inlineStr">
        <is>
          <t>Custody Order Violations</t>
        </is>
      </c>
      <c r="F10" s="4" t="inlineStr">
        <is>
          <t>Violations</t>
        </is>
      </c>
      <c r="G10" s="24" t="inlineStr">
        <is>
          <t>A</t>
        </is>
      </c>
      <c r="H10" s="4" t="inlineStr"/>
      <c r="I10" s="4" t="inlineStr">
        <is>
          <t>Pigors</t>
        </is>
      </c>
      <c r="J10" s="25" t="inlineStr"/>
    </row>
    <row r="11">
      <c r="A11" s="26" t="inlineStr">
        <is>
          <t>Exhibit H</t>
        </is>
      </c>
      <c r="B11" s="27" t="inlineStr">
        <is>
          <t>PIGORS-0151</t>
        </is>
      </c>
      <c r="C11" s="27" t="inlineStr">
        <is>
          <t>PIGORS-0200</t>
        </is>
      </c>
      <c r="D11" s="28" t="n">
        <v>50</v>
      </c>
      <c r="E11" s="29" t="inlineStr">
        <is>
          <t>Ex Parte Orders (24 total)</t>
        </is>
      </c>
      <c r="F11" s="9" t="inlineStr">
        <is>
          <t>Judicial</t>
        </is>
      </c>
      <c r="G11" s="32" t="inlineStr">
        <is>
          <t>E</t>
        </is>
      </c>
      <c r="H11" s="9" t="inlineStr"/>
      <c r="I11" s="9" t="inlineStr">
        <is>
          <t>Court Clerk</t>
        </is>
      </c>
      <c r="J11" s="31" t="inlineStr"/>
    </row>
    <row r="12">
      <c r="A12" s="20" t="inlineStr">
        <is>
          <t>Exhibit I</t>
        </is>
      </c>
      <c r="B12" s="21" t="inlineStr">
        <is>
          <t>PIGORS-0201</t>
        </is>
      </c>
      <c r="C12" s="21" t="inlineStr">
        <is>
          <t>PIGORS-0250</t>
        </is>
      </c>
      <c r="D12" s="22" t="n">
        <v>50</v>
      </c>
      <c r="E12" s="23" t="inlineStr">
        <is>
          <t>Judicial Bias Statistics</t>
        </is>
      </c>
      <c r="F12" s="4" t="inlineStr">
        <is>
          <t>Judicial</t>
        </is>
      </c>
      <c r="G12" s="33" t="inlineStr">
        <is>
          <t>E</t>
        </is>
      </c>
      <c r="H12" s="4" t="inlineStr"/>
      <c r="I12" s="4" t="inlineStr">
        <is>
          <t>Expert</t>
        </is>
      </c>
      <c r="J12" s="25" t="inlineStr"/>
    </row>
    <row r="13">
      <c r="A13" s="26" t="inlineStr">
        <is>
          <t>Exhibit J</t>
        </is>
      </c>
      <c r="B13" s="27" t="inlineStr">
        <is>
          <t>PIGORS-0251</t>
        </is>
      </c>
      <c r="C13" s="27" t="inlineStr">
        <is>
          <t>PIGORS-0300</t>
        </is>
      </c>
      <c r="D13" s="28" t="n">
        <v>50</v>
      </c>
      <c r="E13" s="29" t="inlineStr">
        <is>
          <t>Shady Oaks Ledger Version 1</t>
        </is>
      </c>
      <c r="F13" s="9" t="inlineStr">
        <is>
          <t>Financial</t>
        </is>
      </c>
      <c r="G13" s="34" t="inlineStr">
        <is>
          <t>B</t>
        </is>
      </c>
      <c r="H13" s="9" t="inlineStr"/>
      <c r="I13" s="9" t="inlineStr">
        <is>
          <t>Shady Oaks Mgmt</t>
        </is>
      </c>
      <c r="J13" s="31" t="inlineStr"/>
    </row>
    <row r="14">
      <c r="A14" s="20" t="inlineStr">
        <is>
          <t>Exhibit K</t>
        </is>
      </c>
      <c r="B14" s="21" t="inlineStr">
        <is>
          <t>PIGORS-0301</t>
        </is>
      </c>
      <c r="C14" s="21" t="inlineStr">
        <is>
          <t>PIGORS-0350</t>
        </is>
      </c>
      <c r="D14" s="22" t="n">
        <v>50</v>
      </c>
      <c r="E14" s="23" t="inlineStr">
        <is>
          <t>Shady Oaks Ledger Version 2</t>
        </is>
      </c>
      <c r="F14" s="4" t="inlineStr">
        <is>
          <t>Financial</t>
        </is>
      </c>
      <c r="G14" s="35" t="inlineStr">
        <is>
          <t>B</t>
        </is>
      </c>
      <c r="H14" s="4" t="inlineStr"/>
      <c r="I14" s="4" t="inlineStr">
        <is>
          <t>Shady Oaks Mgmt</t>
        </is>
      </c>
      <c r="J14" s="25" t="inlineStr"/>
    </row>
    <row r="15">
      <c r="A15" s="26" t="inlineStr">
        <is>
          <t>Exhibit L</t>
        </is>
      </c>
      <c r="B15" s="27" t="inlineStr">
        <is>
          <t>PIGORS-0351</t>
        </is>
      </c>
      <c r="C15" s="27" t="inlineStr">
        <is>
          <t>PIGORS-0400</t>
        </is>
      </c>
      <c r="D15" s="28" t="n">
        <v>50</v>
      </c>
      <c r="E15" s="29" t="inlineStr">
        <is>
          <t>Shady Oaks Ledger Version 3</t>
        </is>
      </c>
      <c r="F15" s="9" t="inlineStr">
        <is>
          <t>Financial</t>
        </is>
      </c>
      <c r="G15" s="34" t="inlineStr">
        <is>
          <t>B</t>
        </is>
      </c>
      <c r="H15" s="9" t="inlineStr"/>
      <c r="I15" s="9" t="inlineStr">
        <is>
          <t>Shady Oaks Mgmt</t>
        </is>
      </c>
      <c r="J15" s="31" t="inlineStr"/>
    </row>
    <row r="16">
      <c r="A16" s="20" t="inlineStr">
        <is>
          <t>Exhibit M</t>
        </is>
      </c>
      <c r="B16" s="21" t="inlineStr">
        <is>
          <t>PIGORS-0401</t>
        </is>
      </c>
      <c r="C16" s="21" t="inlineStr">
        <is>
          <t>PIGORS-0420</t>
        </is>
      </c>
      <c r="D16" s="22" t="n">
        <v>20</v>
      </c>
      <c r="E16" s="23" t="inlineStr">
        <is>
          <t>Payment Records ($6,085.99 omitted)</t>
        </is>
      </c>
      <c r="F16" s="4" t="inlineStr">
        <is>
          <t>Financial</t>
        </is>
      </c>
      <c r="G16" s="35" t="inlineStr">
        <is>
          <t>B</t>
        </is>
      </c>
      <c r="H16" s="4" t="inlineStr"/>
      <c r="I16" s="4" t="inlineStr">
        <is>
          <t>Pigors</t>
        </is>
      </c>
      <c r="J16" s="25" t="inlineStr"/>
    </row>
    <row r="17">
      <c r="A17" s="26" t="inlineStr">
        <is>
          <t>Exhibit N</t>
        </is>
      </c>
      <c r="B17" s="27" t="inlineStr">
        <is>
          <t>PIGORS-0421</t>
        </is>
      </c>
      <c r="C17" s="27" t="inlineStr">
        <is>
          <t>PIGORS-0440</t>
        </is>
      </c>
      <c r="D17" s="28" t="n">
        <v>20</v>
      </c>
      <c r="E17" s="29" t="inlineStr">
        <is>
          <t>Tax Assessment Records (74% gap)</t>
        </is>
      </c>
      <c r="F17" s="9" t="inlineStr">
        <is>
          <t>Tax</t>
        </is>
      </c>
      <c r="G17" s="34" t="inlineStr">
        <is>
          <t>B</t>
        </is>
      </c>
      <c r="H17" s="9" t="inlineStr"/>
      <c r="I17" s="9" t="inlineStr">
        <is>
          <t>Assessor</t>
        </is>
      </c>
      <c r="J17" s="31" t="inlineStr"/>
    </row>
    <row r="18">
      <c r="A18" s="20" t="inlineStr">
        <is>
          <t>Exhibit O</t>
        </is>
      </c>
      <c r="B18" s="21" t="inlineStr">
        <is>
          <t>PIGORS-0441</t>
        </is>
      </c>
      <c r="C18" s="21" t="inlineStr">
        <is>
          <t>PIGORS-0460</t>
        </is>
      </c>
      <c r="D18" s="22" t="n">
        <v>20</v>
      </c>
      <c r="E18" s="23" t="inlineStr">
        <is>
          <t>EGLE Violation VN-017235</t>
        </is>
      </c>
      <c r="F18" s="4" t="inlineStr">
        <is>
          <t>Environmental</t>
        </is>
      </c>
      <c r="G18" s="35" t="inlineStr">
        <is>
          <t>B</t>
        </is>
      </c>
      <c r="H18" s="4" t="inlineStr"/>
      <c r="I18" s="4" t="inlineStr">
        <is>
          <t>EGLE Inspector</t>
        </is>
      </c>
      <c r="J18" s="25" t="inlineStr"/>
    </row>
    <row r="19">
      <c r="A19" s="26" t="inlineStr">
        <is>
          <t>Exhibit P</t>
        </is>
      </c>
      <c r="B19" s="27" t="inlineStr">
        <is>
          <t>PIGORS-0461</t>
        </is>
      </c>
      <c r="C19" s="27" t="inlineStr">
        <is>
          <t>PIGORS-0480</t>
        </is>
      </c>
      <c r="D19" s="28" t="n">
        <v>20</v>
      </c>
      <c r="E19" s="29" t="inlineStr">
        <is>
          <t>Coerced Lease ($325→$695)</t>
        </is>
      </c>
      <c r="F19" s="9" t="inlineStr">
        <is>
          <t>Housing</t>
        </is>
      </c>
      <c r="G19" s="34" t="inlineStr">
        <is>
          <t>B</t>
        </is>
      </c>
      <c r="H19" s="9" t="inlineStr"/>
      <c r="I19" s="9" t="inlineStr">
        <is>
          <t>Pigors</t>
        </is>
      </c>
      <c r="J19" s="31" t="inlineStr"/>
    </row>
    <row r="20">
      <c r="A20" s="20" t="inlineStr">
        <is>
          <t>Exhibit Q</t>
        </is>
      </c>
      <c r="B20" s="21" t="inlineStr">
        <is>
          <t>PIGORS-0481</t>
        </is>
      </c>
      <c r="C20" s="21" t="inlineStr">
        <is>
          <t>PIGORS-0500</t>
        </is>
      </c>
      <c r="D20" s="22" t="n">
        <v>20</v>
      </c>
      <c r="E20" s="23" t="inlineStr">
        <is>
          <t>Partridge Securities Check ($1,300.26)</t>
        </is>
      </c>
      <c r="F20" s="4" t="inlineStr">
        <is>
          <t>Financial</t>
        </is>
      </c>
      <c r="G20" s="35" t="inlineStr">
        <is>
          <t>B</t>
        </is>
      </c>
      <c r="H20" s="4" t="inlineStr"/>
      <c r="I20" s="4" t="inlineStr">
        <is>
          <t>Bank Officer</t>
        </is>
      </c>
      <c r="J20" s="25" t="inlineStr"/>
    </row>
    <row r="21">
      <c r="A21" s="26" t="inlineStr">
        <is>
          <t>Exhibit R</t>
        </is>
      </c>
      <c r="B21" s="27" t="inlineStr">
        <is>
          <t>PIGORS-0501</t>
        </is>
      </c>
      <c r="C21" s="27" t="inlineStr">
        <is>
          <t>PIGORS-0530</t>
        </is>
      </c>
      <c r="D21" s="28" t="n">
        <v>30</v>
      </c>
      <c r="E21" s="29" t="inlineStr">
        <is>
          <t>Corporate Structure Documents</t>
        </is>
      </c>
      <c r="F21" s="9" t="inlineStr">
        <is>
          <t>Corporate</t>
        </is>
      </c>
      <c r="G21" s="34" t="inlineStr">
        <is>
          <t>B</t>
        </is>
      </c>
      <c r="H21" s="9" t="inlineStr"/>
      <c r="I21" s="9" t="inlineStr">
        <is>
          <t>SOS Records</t>
        </is>
      </c>
      <c r="J21" s="31" t="inlineStr"/>
    </row>
    <row r="22">
      <c r="A22" s="20" t="inlineStr">
        <is>
          <t>Exhibit S</t>
        </is>
      </c>
      <c r="B22" s="21" t="inlineStr">
        <is>
          <t>PIGORS-0531</t>
        </is>
      </c>
      <c r="C22" s="21" t="inlineStr">
        <is>
          <t>PIGORS-0550</t>
        </is>
      </c>
      <c r="D22" s="22" t="n">
        <v>20</v>
      </c>
      <c r="E22" s="23" t="inlineStr">
        <is>
          <t>PPO Petition &amp; Orders</t>
        </is>
      </c>
      <c r="F22" s="4" t="inlineStr">
        <is>
          <t>PPO</t>
        </is>
      </c>
      <c r="G22" s="36" t="inlineStr">
        <is>
          <t>D</t>
        </is>
      </c>
      <c r="H22" s="4" t="inlineStr"/>
      <c r="I22" s="4" t="inlineStr">
        <is>
          <t>Pigors</t>
        </is>
      </c>
      <c r="J22" s="25" t="inlineStr"/>
    </row>
    <row r="23">
      <c r="A23" s="26" t="inlineStr">
        <is>
          <t>Exhibit T</t>
        </is>
      </c>
      <c r="B23" s="27" t="inlineStr">
        <is>
          <t>PIGORS-0551</t>
        </is>
      </c>
      <c r="C23" s="27" t="inlineStr">
        <is>
          <t>PIGORS-0570</t>
        </is>
      </c>
      <c r="D23" s="28" t="n">
        <v>20</v>
      </c>
      <c r="E23" s="29" t="inlineStr">
        <is>
          <t>False Allegation Evidence</t>
        </is>
      </c>
      <c r="F23" s="9" t="inlineStr">
        <is>
          <t>PPO</t>
        </is>
      </c>
      <c r="G23" s="37" t="inlineStr">
        <is>
          <t>D</t>
        </is>
      </c>
      <c r="H23" s="9" t="inlineStr"/>
      <c r="I23" s="9" t="inlineStr">
        <is>
          <t>Pigors</t>
        </is>
      </c>
      <c r="J23" s="31" t="inlineStr"/>
    </row>
    <row r="24">
      <c r="A24" s="20" t="inlineStr">
        <is>
          <t>Exhibit U</t>
        </is>
      </c>
      <c r="B24" s="21" t="inlineStr">
        <is>
          <t>PIGORS-0571</t>
        </is>
      </c>
      <c r="C24" s="21" t="inlineStr">
        <is>
          <t>PIGORS-0600</t>
        </is>
      </c>
      <c r="D24" s="22" t="n">
        <v>30</v>
      </c>
      <c r="E24" s="23" t="inlineStr">
        <is>
          <t>Federal Civil Rights Complaint (42 USC §1983)</t>
        </is>
      </c>
      <c r="F24" s="4" t="inlineStr">
        <is>
          <t>Federal</t>
        </is>
      </c>
      <c r="G24" s="38" t="inlineStr">
        <is>
          <t>C</t>
        </is>
      </c>
      <c r="H24" s="4" t="inlineStr"/>
      <c r="I24" s="4" t="inlineStr">
        <is>
          <t>Pigors</t>
        </is>
      </c>
      <c r="J24" s="25" t="inlineStr"/>
    </row>
    <row r="25">
      <c r="A25" s="26" t="inlineStr">
        <is>
          <t>Exhibit V</t>
        </is>
      </c>
      <c r="B25" s="27" t="inlineStr">
        <is>
          <t>PIGORS-0601</t>
        </is>
      </c>
      <c r="C25" s="27" t="inlineStr">
        <is>
          <t>PIGORS-0630</t>
        </is>
      </c>
      <c r="D25" s="28" t="n">
        <v>30</v>
      </c>
      <c r="E25" s="29" t="inlineStr">
        <is>
          <t>Legal Malpractice Evidence (Gregory Moore)</t>
        </is>
      </c>
      <c r="F25" s="9" t="inlineStr">
        <is>
          <t>Malpractice</t>
        </is>
      </c>
      <c r="G25" s="39" t="inlineStr">
        <is>
          <t>C</t>
        </is>
      </c>
      <c r="H25" s="9" t="inlineStr"/>
      <c r="I25" s="9" t="inlineStr">
        <is>
          <t>Pigors</t>
        </is>
      </c>
      <c r="J25" s="31" t="inlineStr"/>
    </row>
    <row r="26">
      <c r="A26" s="20" t="inlineStr">
        <is>
          <t>Exhibit W</t>
        </is>
      </c>
      <c r="B26" s="21" t="inlineStr">
        <is>
          <t>PIGORS-0631</t>
        </is>
      </c>
      <c r="C26" s="21" t="inlineStr">
        <is>
          <t>PIGORS-0660</t>
        </is>
      </c>
      <c r="D26" s="22" t="n">
        <v>30</v>
      </c>
      <c r="E26" s="23" t="inlineStr">
        <is>
          <t>FOC Violations &amp; Misconduct</t>
        </is>
      </c>
      <c r="F26" s="4" t="inlineStr">
        <is>
          <t>Administrative</t>
        </is>
      </c>
      <c r="G26" s="24" t="inlineStr">
        <is>
          <t>A, E</t>
        </is>
      </c>
      <c r="H26" s="4" t="inlineStr"/>
      <c r="I26" s="4" t="inlineStr">
        <is>
          <t>FOC Records</t>
        </is>
      </c>
      <c r="J26" s="25" t="inlineStr"/>
    </row>
    <row r="27">
      <c r="A27" s="26" t="inlineStr">
        <is>
          <t>Exhibit X</t>
        </is>
      </c>
      <c r="B27" s="27" t="inlineStr">
        <is>
          <t>PIGORS-0661</t>
        </is>
      </c>
      <c r="C27" s="27" t="inlineStr">
        <is>
          <t>PIGORS-0700</t>
        </is>
      </c>
      <c r="D27" s="28" t="n">
        <v>40</v>
      </c>
      <c r="E27" s="29" t="inlineStr">
        <is>
          <t>DHHS Benefits Denial Records</t>
        </is>
      </c>
      <c r="F27" s="9" t="inlineStr">
        <is>
          <t>Administrative</t>
        </is>
      </c>
      <c r="G27" s="39" t="inlineStr">
        <is>
          <t>C</t>
        </is>
      </c>
      <c r="H27" s="9" t="inlineStr"/>
      <c r="I27" s="9" t="inlineStr">
        <is>
          <t>DHHS</t>
        </is>
      </c>
      <c r="J27" s="31" t="inlineStr"/>
    </row>
    <row r="28">
      <c r="A28" s="20" t="inlineStr">
        <is>
          <t>Exhibit Y</t>
        </is>
      </c>
      <c r="B28" s="21" t="inlineStr">
        <is>
          <t>PIGORS-0701</t>
        </is>
      </c>
      <c r="C28" s="21" t="inlineStr">
        <is>
          <t>PIGORS-0730</t>
        </is>
      </c>
      <c r="D28" s="22" t="n">
        <v>30</v>
      </c>
      <c r="E28" s="23" t="inlineStr">
        <is>
          <t>School Communication Records</t>
        </is>
      </c>
      <c r="F28" s="4" t="inlineStr">
        <is>
          <t>Education</t>
        </is>
      </c>
      <c r="G28" s="24" t="inlineStr">
        <is>
          <t>A</t>
        </is>
      </c>
      <c r="H28" s="4" t="inlineStr"/>
      <c r="I28" s="4" t="inlineStr">
        <is>
          <t>School Admin</t>
        </is>
      </c>
      <c r="J28" s="25" t="inlineStr"/>
    </row>
    <row r="29">
      <c r="A29" s="26" t="inlineStr">
        <is>
          <t>Exhibit Z</t>
        </is>
      </c>
      <c r="B29" s="27" t="inlineStr">
        <is>
          <t>PIGORS-0731</t>
        </is>
      </c>
      <c r="C29" s="27" t="inlineStr">
        <is>
          <t>PIGORS-0760</t>
        </is>
      </c>
      <c r="D29" s="28" t="n">
        <v>30</v>
      </c>
      <c r="E29" s="29" t="inlineStr">
        <is>
          <t>Medical/Therapy Records</t>
        </is>
      </c>
      <c r="F29" s="9" t="inlineStr">
        <is>
          <t>Medical</t>
        </is>
      </c>
      <c r="G29" s="30" t="inlineStr">
        <is>
          <t>A</t>
        </is>
      </c>
      <c r="H29" s="9" t="inlineStr"/>
      <c r="I29" s="9" t="inlineStr">
        <is>
          <t>Therapist</t>
        </is>
      </c>
      <c r="J29" s="31" t="inlineStr"/>
    </row>
    <row r="30">
      <c r="A30" s="20" t="inlineStr">
        <is>
          <t>Exhibit AA</t>
        </is>
      </c>
      <c r="B30" s="21" t="inlineStr">
        <is>
          <t>PIGORS-0761</t>
        </is>
      </c>
      <c r="C30" s="21" t="inlineStr">
        <is>
          <t>PIGORS-0800</t>
        </is>
      </c>
      <c r="D30" s="22" t="n">
        <v>40</v>
      </c>
      <c r="E30" s="23" t="inlineStr">
        <is>
          <t>ChatGPT Litigation Research Exports</t>
        </is>
      </c>
      <c r="F30" s="4" t="inlineStr">
        <is>
          <t>Digital</t>
        </is>
      </c>
      <c r="G30" s="38" t="inlineStr">
        <is>
          <t>C</t>
        </is>
      </c>
      <c r="H30" s="4" t="inlineStr"/>
      <c r="I30" s="4" t="inlineStr">
        <is>
          <t>Pigors</t>
        </is>
      </c>
      <c r="J30" s="25" t="inlineStr"/>
    </row>
    <row r="31">
      <c r="A31" s="26" t="inlineStr">
        <is>
          <t>Exhibit BB</t>
        </is>
      </c>
      <c r="B31" s="27" t="inlineStr">
        <is>
          <t>PIGORS-0801</t>
        </is>
      </c>
      <c r="C31" s="27" t="inlineStr">
        <is>
          <t>PIGORS-0840</t>
        </is>
      </c>
      <c r="D31" s="28" t="n">
        <v>40</v>
      </c>
      <c r="E31" s="29" t="inlineStr">
        <is>
          <t>Watson Criminal History &amp; Background</t>
        </is>
      </c>
      <c r="F31" s="9" t="inlineStr">
        <is>
          <t>Criminal</t>
        </is>
      </c>
      <c r="G31" s="30" t="inlineStr">
        <is>
          <t>A, D</t>
        </is>
      </c>
      <c r="H31" s="9" t="inlineStr"/>
      <c r="I31" s="9" t="inlineStr">
        <is>
          <t>ICHAT Records</t>
        </is>
      </c>
      <c r="J31" s="31" t="inlineStr"/>
    </row>
    <row r="32">
      <c r="A32" s="20" t="inlineStr">
        <is>
          <t>Exhibit CC</t>
        </is>
      </c>
      <c r="B32" s="21" t="inlineStr">
        <is>
          <t>PIGORS-0841</t>
        </is>
      </c>
      <c r="C32" s="21" t="inlineStr">
        <is>
          <t>PIGORS-0870</t>
        </is>
      </c>
      <c r="D32" s="22" t="n">
        <v>30</v>
      </c>
      <c r="E32" s="23" t="inlineStr">
        <is>
          <t>Appellate Brief &amp; Record on Appeal</t>
        </is>
      </c>
      <c r="F32" s="4" t="inlineStr">
        <is>
          <t>Appellate</t>
        </is>
      </c>
      <c r="G32" s="40" t="inlineStr">
        <is>
          <t>F</t>
        </is>
      </c>
      <c r="H32" s="4" t="inlineStr"/>
      <c r="I32" s="4" t="inlineStr">
        <is>
          <t>Pigors</t>
        </is>
      </c>
      <c r="J32" s="25" t="inlineStr"/>
    </row>
    <row r="33">
      <c r="A33" s="26" t="inlineStr">
        <is>
          <t>Exhibit DD</t>
        </is>
      </c>
      <c r="B33" s="27" t="inlineStr">
        <is>
          <t>PIGORS-0871</t>
        </is>
      </c>
      <c r="C33" s="27" t="inlineStr">
        <is>
          <t>PIGORS-0900</t>
        </is>
      </c>
      <c r="D33" s="28" t="n">
        <v>30</v>
      </c>
      <c r="E33" s="29" t="inlineStr">
        <is>
          <t>JTC Complaint Supporting Evidence</t>
        </is>
      </c>
      <c r="F33" s="9" t="inlineStr">
        <is>
          <t>Misconduct</t>
        </is>
      </c>
      <c r="G33" s="32" t="inlineStr">
        <is>
          <t>E</t>
        </is>
      </c>
      <c r="H33" s="9" t="inlineStr"/>
      <c r="I33" s="9" t="inlineStr">
        <is>
          <t>Pigors</t>
        </is>
      </c>
      <c r="J33" s="31" t="inlineStr"/>
    </row>
    <row r="34">
      <c r="A34" s="14" t="inlineStr">
        <is>
          <t>TOTALS</t>
        </is>
      </c>
      <c r="B34" s="41" t="inlineStr">
        <is>
          <t>PIGORS-0001</t>
        </is>
      </c>
      <c r="C34" s="41" t="inlineStr">
        <is>
          <t>PIGORS-0900</t>
        </is>
      </c>
      <c r="D34" s="42">
        <f>SUM(D4:D33)</f>
        <v/>
      </c>
      <c r="E34" s="14">
        <f>COUNTA(A4:A33)&amp;" exhibits"</f>
        <v/>
      </c>
      <c r="F34" s="43" t="n"/>
      <c r="G34" s="43" t="n"/>
      <c r="H34" s="43" t="n"/>
      <c r="I34" s="43" t="n"/>
      <c r="J34" s="43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8" customWidth="1" min="4" max="4"/>
    <col width="16" customWidth="1" min="5" max="5"/>
    <col width="28" customWidth="1" min="6" max="6"/>
    <col width="28" customWidth="1" min="7" max="7"/>
    <col width="14" customWidth="1" min="8" max="8"/>
  </cols>
  <sheetData>
    <row r="1" ht="36" customHeight="1">
      <c r="A1" s="1" t="inlineStr">
        <is>
          <t>Deduplication Report</t>
        </is>
      </c>
    </row>
    <row r="3">
      <c r="A3" s="3" t="inlineStr">
        <is>
          <t>Batch</t>
        </is>
      </c>
      <c r="B3" s="3" t="inlineStr">
        <is>
          <t>Source</t>
        </is>
      </c>
      <c r="C3" s="3" t="inlineStr">
        <is>
          <t>Files Scanned</t>
        </is>
      </c>
      <c r="D3" s="3" t="inlineStr">
        <is>
          <t>Duplicates Found</t>
        </is>
      </c>
      <c r="E3" s="3" t="inlineStr">
        <is>
          <t>Size Freed (GB)</t>
        </is>
      </c>
      <c r="F3" s="3" t="inlineStr">
        <is>
          <t>Destination</t>
        </is>
      </c>
      <c r="G3" s="3" t="inlineStr">
        <is>
          <t>Method</t>
        </is>
      </c>
      <c r="H3" s="3" t="inlineStr">
        <is>
          <t>Date</t>
        </is>
      </c>
    </row>
    <row r="4">
      <c r="A4" s="4" t="inlineStr">
        <is>
          <t>H:\ Full Dedup</t>
        </is>
      </c>
      <c r="B4" s="4" t="inlineStr">
        <is>
          <t>H:\</t>
        </is>
      </c>
      <c r="C4" s="5" t="n">
        <v>75895</v>
      </c>
      <c r="D4" s="5" t="n">
        <v>39895</v>
      </c>
      <c r="E4" s="6" t="n">
        <v>2.1</v>
      </c>
      <c r="F4" s="4" t="inlineStr">
        <is>
          <t>I:\DEDUP_H_DRIVE\</t>
        </is>
      </c>
      <c r="G4" s="4" t="inlineStr">
        <is>
          <t>SHA-256 + Content Peek</t>
        </is>
      </c>
      <c r="H4" s="25" t="inlineStr">
        <is>
          <t>2025-01-15</t>
        </is>
      </c>
    </row>
    <row r="5">
      <c r="A5" s="9" t="inlineStr">
        <is>
          <t>Numbered Copies</t>
        </is>
      </c>
      <c r="B5" s="9" t="inlineStr">
        <is>
          <t>C:\, D:\</t>
        </is>
      </c>
      <c r="C5" s="10" t="n">
        <v>125000</v>
      </c>
      <c r="D5" s="10" t="n">
        <v>10288</v>
      </c>
      <c r="E5" s="11" t="n">
        <v>0.8</v>
      </c>
      <c r="F5" s="9" t="inlineStr">
        <is>
          <t>I:\LitigationOS_Dedup\</t>
        </is>
      </c>
      <c r="G5" s="9" t="inlineStr">
        <is>
          <t>Filename Pattern + Content</t>
        </is>
      </c>
      <c r="H5" s="31" t="inlineStr">
        <is>
          <t>2025-02-01</t>
        </is>
      </c>
    </row>
    <row r="6">
      <c r="A6" s="4" t="inlineStr">
        <is>
          <t>ChatGPT Export Dedup</t>
        </is>
      </c>
      <c r="B6" s="4" t="inlineStr">
        <is>
          <t>D:\ChatGPT</t>
        </is>
      </c>
      <c r="C6" s="5" t="n">
        <v>2647</v>
      </c>
      <c r="D6" s="44" t="inlineStr">
        <is>
          <t>TBD</t>
        </is>
      </c>
      <c r="E6" s="44" t="inlineStr">
        <is>
          <t>TBD</t>
        </is>
      </c>
      <c r="F6" s="4" t="inlineStr">
        <is>
          <t>I:\DEDUP_ChatGPT\</t>
        </is>
      </c>
      <c r="G6" s="4" t="inlineStr">
        <is>
          <t>Content-Based Compare</t>
        </is>
      </c>
      <c r="H6" s="25" t="inlineStr">
        <is>
          <t>In Progress</t>
        </is>
      </c>
    </row>
    <row r="7">
      <c r="A7" s="9" t="inlineStr">
        <is>
          <t>Photo Dedup</t>
        </is>
      </c>
      <c r="B7" s="9" t="inlineStr">
        <is>
          <t>F:\, G:\</t>
        </is>
      </c>
      <c r="C7" s="10" t="n">
        <v>3200</v>
      </c>
      <c r="D7" s="45" t="inlineStr">
        <is>
          <t>TBD</t>
        </is>
      </c>
      <c r="E7" s="45" t="inlineStr">
        <is>
          <t>TBD</t>
        </is>
      </c>
      <c r="F7" s="9" t="inlineStr">
        <is>
          <t>I:\DEDUP_Photos\</t>
        </is>
      </c>
      <c r="G7" s="9" t="inlineStr">
        <is>
          <t>Perceptual Hash + EXIF</t>
        </is>
      </c>
      <c r="H7" s="31" t="inlineStr">
        <is>
          <t>Pending</t>
        </is>
      </c>
    </row>
    <row r="8">
      <c r="A8" s="4" t="inlineStr">
        <is>
          <t>Court Order Dedup</t>
        </is>
      </c>
      <c r="B8" s="4" t="inlineStr">
        <is>
          <t>C:\</t>
        </is>
      </c>
      <c r="C8" s="5" t="n">
        <v>887</v>
      </c>
      <c r="D8" s="44" t="inlineStr">
        <is>
          <t>TBD</t>
        </is>
      </c>
      <c r="E8" s="44" t="inlineStr">
        <is>
          <t>TBD</t>
        </is>
      </c>
      <c r="F8" s="4" t="inlineStr">
        <is>
          <t>I:\DEDUP_CourtOrders\</t>
        </is>
      </c>
      <c r="G8" s="4" t="inlineStr">
        <is>
          <t>Text Extract + Compare</t>
        </is>
      </c>
      <c r="H8" s="25" t="inlineStr">
        <is>
          <t>Pending</t>
        </is>
      </c>
    </row>
    <row r="9">
      <c r="A9" s="9" t="inlineStr">
        <is>
          <t>Email Dedup</t>
        </is>
      </c>
      <c r="B9" s="9" t="inlineStr">
        <is>
          <t>D:\</t>
        </is>
      </c>
      <c r="C9" s="10" t="n">
        <v>1450</v>
      </c>
      <c r="D9" s="45" t="inlineStr">
        <is>
          <t>TBD</t>
        </is>
      </c>
      <c r="E9" s="45" t="inlineStr">
        <is>
          <t>TBD</t>
        </is>
      </c>
      <c r="F9" s="9" t="inlineStr">
        <is>
          <t>I:\DEDUP_Email\</t>
        </is>
      </c>
      <c r="G9" s="9" t="inlineStr">
        <is>
          <t>Header + Body Hash</t>
        </is>
      </c>
      <c r="H9" s="31" t="inlineStr">
        <is>
          <t>Pending</t>
        </is>
      </c>
    </row>
    <row r="10">
      <c r="A10" s="14" t="inlineStr">
        <is>
          <t>TOTALS</t>
        </is>
      </c>
      <c r="B10" s="43" t="n"/>
      <c r="C10" s="15">
        <f>SUM(C4:C9)</f>
        <v/>
      </c>
      <c r="D10" s="15">
        <f>SUM(D4:D9)</f>
        <v/>
      </c>
      <c r="E10" s="16">
        <f>SUM(E4:E9)</f>
        <v/>
      </c>
      <c r="F10" s="43" t="n"/>
      <c r="G10" s="43" t="n"/>
      <c r="H10" s="43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11D48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22" customWidth="1" min="4" max="4"/>
    <col width="28" customWidth="1" min="5" max="5"/>
    <col width="16" customWidth="1" min="6" max="6"/>
    <col width="12" customWidth="1" min="7" max="7"/>
    <col width="20" customWidth="1" min="8" max="8"/>
  </cols>
  <sheetData>
    <row r="1" ht="36" customHeight="1">
      <c r="A1" s="1" t="inlineStr">
        <is>
          <t>Evidence Strength Matrix — Per-Lane Scoring</t>
        </is>
      </c>
    </row>
    <row r="3">
      <c r="A3" s="3" t="inlineStr">
        <is>
          <t>Lane</t>
        </is>
      </c>
      <c r="B3" s="3" t="inlineStr">
        <is>
          <t>Quotes / Evidence Items</t>
        </is>
      </c>
      <c r="C3" s="3" t="inlineStr">
        <is>
          <t>Citations / Records</t>
        </is>
      </c>
      <c r="D3" s="3" t="inlineStr">
        <is>
          <t>Violations / Gaps</t>
        </is>
      </c>
      <c r="E3" s="3" t="inlineStr">
        <is>
          <t>Impeachment / Contradictions</t>
        </is>
      </c>
      <c r="F3" s="3" t="inlineStr">
        <is>
          <t>Alienation Score</t>
        </is>
      </c>
      <c r="G3" s="3" t="inlineStr">
        <is>
          <t>Raw Score</t>
        </is>
      </c>
      <c r="H3" s="3" t="inlineStr">
        <is>
          <t>Strength Rating</t>
        </is>
      </c>
    </row>
    <row r="4">
      <c r="A4" s="46" t="inlineStr">
        <is>
          <t>A — Custody</t>
        </is>
      </c>
      <c r="B4" s="5" t="n">
        <v>308704</v>
      </c>
      <c r="C4" s="5" t="n">
        <v>11188</v>
      </c>
      <c r="D4" s="5" t="n">
        <v>3804</v>
      </c>
      <c r="E4" s="5" t="n">
        <v>15171</v>
      </c>
      <c r="F4" s="47" t="n">
        <v>0.91</v>
      </c>
      <c r="G4" s="48">
        <f>MIN(100,ROUND(LN(B4+1)*5+LN(C4+1)*4+LN(D4+1)*6+LN(E4+1)*5,1))</f>
        <v/>
      </c>
      <c r="H4" s="49">
        <f>IF(G4&gt;=90,"OVERWHELMING",IF(G4&gt;=70,"STRONG",IF(G4&gt;=50,"ADEQUATE","NEEDS WORK")))</f>
        <v/>
      </c>
    </row>
    <row r="5">
      <c r="A5" s="50" t="inlineStr">
        <is>
          <t>B — Housing</t>
        </is>
      </c>
      <c r="B5" s="10" t="n">
        <v>22</v>
      </c>
      <c r="C5" s="10" t="n">
        <v>500</v>
      </c>
      <c r="D5" s="10" t="n">
        <v>74</v>
      </c>
      <c r="E5" s="10" t="n">
        <v>3</v>
      </c>
      <c r="F5" s="45" t="inlineStr">
        <is>
          <t>N/A</t>
        </is>
      </c>
      <c r="G5" s="51">
        <f>MIN(100,ROUND(LN(B5+1)*5+LN(C5+1)*4+LN(D5+1)*6+LN(E5+1)*5,1))</f>
        <v/>
      </c>
      <c r="H5" s="52">
        <f>IF(G5&gt;=90,"OVERWHELMING",IF(G5&gt;=70,"STRONG",IF(G5&gt;=50,"ADEQUATE","NEEDS WORK")))</f>
        <v/>
      </c>
    </row>
    <row r="6">
      <c r="A6" s="53" t="inlineStr">
        <is>
          <t>D — PPO</t>
        </is>
      </c>
      <c r="B6" s="5" t="n">
        <v>9</v>
      </c>
      <c r="C6" s="5" t="n">
        <v>0</v>
      </c>
      <c r="D6" s="5" t="n">
        <v>69</v>
      </c>
      <c r="E6" s="5" t="n">
        <v>200</v>
      </c>
      <c r="F6" s="44" t="inlineStr">
        <is>
          <t>N/A</t>
        </is>
      </c>
      <c r="G6" s="48">
        <f>MIN(100,ROUND(LN(B6+1)*5+LN(C6+1)*4+LN(D6+1)*6+LN(E6+1)*5,1))</f>
        <v/>
      </c>
      <c r="H6" s="49">
        <f>IF(G6&gt;=90,"OVERWHELMING",IF(G6&gt;=70,"STRONG",IF(G6&gt;=50,"ADEQUATE","NEEDS WORK")))</f>
        <v/>
      </c>
    </row>
    <row r="7">
      <c r="A7" s="54" t="inlineStr">
        <is>
          <t>E — Misconduct</t>
        </is>
      </c>
      <c r="B7" s="10" t="n">
        <v>1127</v>
      </c>
      <c r="C7" s="10" t="n">
        <v>24</v>
      </c>
      <c r="D7" s="10" t="n">
        <v>1826</v>
      </c>
      <c r="E7" s="10" t="n">
        <v>216</v>
      </c>
      <c r="F7" s="45" t="inlineStr">
        <is>
          <t>N/A</t>
        </is>
      </c>
      <c r="G7" s="51">
        <f>MIN(100,ROUND(LN(B7+1)*5+LN(C7+1)*4+LN(D7+1)*6+LN(E7+1)*5,1))</f>
        <v/>
      </c>
      <c r="H7" s="52">
        <f>IF(G7&gt;=90,"OVERWHELMING",IF(G7&gt;=70,"STRONG",IF(G7&gt;=50,"ADEQUATE","NEEDS WORK")))</f>
        <v/>
      </c>
    </row>
    <row r="8">
      <c r="A8" s="55" t="inlineStr">
        <is>
          <t>F — Appellate</t>
        </is>
      </c>
      <c r="B8" s="5" t="n">
        <v>887</v>
      </c>
      <c r="C8" s="5" t="n">
        <v>1942</v>
      </c>
      <c r="D8" s="5" t="n">
        <v>48</v>
      </c>
      <c r="E8" s="5" t="n">
        <v>0</v>
      </c>
      <c r="F8" s="44" t="inlineStr">
        <is>
          <t>N/A</t>
        </is>
      </c>
      <c r="G8" s="48">
        <f>MIN(100,ROUND(LN(B8+1)*5+LN(C8+1)*4+LN(D8+1)*6+LN(E8+1)*5,1))</f>
        <v/>
      </c>
      <c r="H8" s="49">
        <f>IF(G8&gt;=90,"OVERWHELMING",IF(G8&gt;=70,"STRONG",IF(G8&gt;=50,"ADEQUATE","NEEDS WORK")))</f>
        <v/>
      </c>
    </row>
    <row r="10">
      <c r="A10" s="56" t="inlineStr">
        <is>
          <t>↗ See 'Evidence Inventory' for full coverage breakdown</t>
        </is>
      </c>
    </row>
    <row r="11">
      <c r="A11" s="56" t="inlineStr">
        <is>
          <t>Total Evidence Items:</t>
        </is>
      </c>
      <c r="B11" s="57">
        <f>'Evidence Inventory'!C20</f>
        <v/>
      </c>
      <c r="C11" s="56" t="inlineStr">
        <is>
          <t>Overall Coverage:</t>
        </is>
      </c>
      <c r="D11" s="58">
        <f>'Evidence Inventory'!I20</f>
        <v/>
      </c>
      <c r="E11" s="56" t="inlineStr">
        <is>
          <t>Total Dedup Found:</t>
        </is>
      </c>
      <c r="F11" s="57">
        <f>'Dedup Report'!D10</f>
        <v/>
      </c>
    </row>
  </sheetData>
  <mergeCells count="2">
    <mergeCell ref="A10:H10"/>
    <mergeCell ref="A1:H1"/>
  </mergeCells>
  <conditionalFormatting sqref="H4:H8">
    <cfRule type="cellIs" priority="1" operator="equal" dxfId="3">
      <formula>"OVERWHELMING"</formula>
    </cfRule>
    <cfRule type="cellIs" priority="2" operator="equal" dxfId="4">
      <formula>"STRONG"</formula>
    </cfRule>
    <cfRule type="cellIs" priority="3" operator="equal" dxfId="5">
      <formula>"ADEQUATE"</formula>
    </cfRule>
    <cfRule type="cellIs" priority="4" operator="equal" dxfId="6">
      <formula>"NEEDS WORK"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2026-03-12T13:48:16Z</dcterms:created>
  <dcterms:modified xmlns:dcterms="http://purl.org/dc/terms/" xmlns:xsi="http://www.w3.org/2001/XMLSchema-instance" xsi:type="dcterms:W3CDTF">2026-03-12T13:48:16Z</dcterms:modified>
</cp:coreProperties>
</file>