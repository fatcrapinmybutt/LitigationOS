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 Registry" sheetId="1" state="visible" r:id="rId1"/>
    <sheet xmlns:r="http://schemas.openxmlformats.org/officeDocument/2006/relationships" name="Fleet Summary" sheetId="2" state="visible" r:id="rId2"/>
    <sheet xmlns:r="http://schemas.openxmlformats.org/officeDocument/2006/relationships" name="Tier Performance" sheetId="3" state="visible" r:id="rId3"/>
    <sheet xmlns:r="http://schemas.openxmlformats.org/officeDocument/2006/relationships" name="Error Log" sheetId="4" state="visible" r:id="rId4"/>
  </sheets>
  <definedNames>
    <definedName name="_xlnm._FilterDatabase" localSheetId="0" hidden="1">'Agent Registry'!$A$4:$J$4</definedName>
    <definedName name="_xlnm._FilterDatabase" localSheetId="3" hidden="1">'Error Log'!$A$4:$H$4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&quot;%&quot;"/>
  </numFmts>
  <fonts count="12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color rgb="0064748B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1E40AF"/>
      <sz val="10"/>
    </font>
    <font>
      <name val="Calibri"/>
      <color rgb="0015803D"/>
      <sz val="10"/>
    </font>
    <font>
      <name val="Calibri"/>
      <color rgb="00B45309"/>
      <sz val="10"/>
    </font>
    <font>
      <b val="1"/>
      <color rgb="000F172A"/>
      <sz val="10"/>
    </font>
    <font>
      <name val="Calibri"/>
      <color rgb="00000000"/>
      <sz val="10"/>
    </font>
    <font>
      <b val="1"/>
      <color rgb="000F172A"/>
      <sz val="12"/>
    </font>
    <font>
      <name val="Calibri"/>
      <color rgb="00DC2626"/>
      <sz val="10"/>
    </font>
  </fonts>
  <fills count="12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CE7F3"/>
      </patternFill>
    </fill>
    <fill>
      <patternFill patternType="solid">
        <fgColor rgb="00FFEDD5"/>
      </patternFill>
    </fill>
    <fill>
      <patternFill patternType="solid">
        <fgColor rgb="00334155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165" fontId="5" fillId="1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4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166" fontId="6" fillId="0" borderId="1" applyAlignment="1" pivotButton="0" quotePrefix="0" xfId="0">
      <alignment horizontal="center" vertical="center" wrapText="1"/>
    </xf>
    <xf numFmtId="166" fontId="6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166" fontId="9" fillId="11" borderId="1" applyAlignment="1" pivotButton="0" quotePrefix="0" xfId="0">
      <alignment horizontal="center" vertical="center" wrapText="1"/>
    </xf>
    <xf numFmtId="0" fontId="0" fillId="11" borderId="0" pivotButton="0" quotePrefix="0" xfId="0"/>
    <xf numFmtId="0" fontId="10" fillId="0" borderId="0" pivotButton="0" quotePrefix="0" xfId="0"/>
    <xf numFmtId="0" fontId="3" fillId="8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 wrapText="1"/>
    </xf>
    <xf numFmtId="167" fontId="9" fillId="11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66" fontId="5" fillId="11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40AF"/>
    <outlinePr summaryBelow="1" summaryRight="1"/>
    <pageSetUpPr/>
  </sheetPr>
  <dimension ref="A1:J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28" customWidth="1" min="4" max="4"/>
    <col width="38" customWidth="1" min="5" max="5"/>
    <col width="14" customWidth="1" min="6" max="6"/>
    <col width="14" customWidth="1" min="7" max="7"/>
    <col width="18" customWidth="1" min="8" max="8"/>
    <col width="12" customWidth="1" min="9" max="9"/>
    <col width="30" customWidth="1" min="10" max="10"/>
  </cols>
  <sheetData>
    <row r="1" ht="30" customHeight="1">
      <c r="A1" s="1" t="inlineStr">
        <is>
          <t>LitigationOS Agent Fleet Operations</t>
        </is>
      </c>
    </row>
    <row r="2" ht="20" customHeight="1">
      <c r="A2" s="2" t="inlineStr">
        <is>
          <t>155+ Agents | 5 Fleets | 7 Tiers</t>
        </is>
      </c>
    </row>
    <row r="4">
      <c r="A4" s="3" t="inlineStr">
        <is>
          <t>Agent ID</t>
        </is>
      </c>
      <c r="B4" s="3" t="inlineStr">
        <is>
          <t>Fleet</t>
        </is>
      </c>
      <c r="C4" s="3" t="inlineStr">
        <is>
          <t>Tier</t>
        </is>
      </c>
      <c r="D4" s="3" t="inlineStr">
        <is>
          <t>Agent Name</t>
        </is>
      </c>
      <c r="E4" s="3" t="inlineStr">
        <is>
          <t>Role</t>
        </is>
      </c>
      <c r="F4" s="3" t="inlineStr">
        <is>
          <t>Status</t>
        </is>
      </c>
      <c r="G4" s="3" t="inlineStr">
        <is>
          <t>Success Rate %</t>
        </is>
      </c>
      <c r="H4" s="3" t="inlineStr">
        <is>
          <t>Last Run</t>
        </is>
      </c>
      <c r="I4" s="3" t="inlineStr">
        <is>
          <t>Error Count</t>
        </is>
      </c>
      <c r="J4" s="3" t="inlineStr">
        <is>
          <t>Notes</t>
        </is>
      </c>
    </row>
    <row r="5">
      <c r="A5" s="4" t="inlineStr">
        <is>
          <t xml:space="preserve">  ▸ Delta9 Core Pipeline — 56 Agents (Tiers 1/2/3/J/K/L)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6" t="inlineStr">
        <is>
          <t>A01</t>
        </is>
      </c>
      <c r="B6" s="6" t="inlineStr">
        <is>
          <t>Delta9</t>
        </is>
      </c>
      <c r="C6" s="6" t="inlineStr">
        <is>
          <t>1 (I/O)</t>
        </is>
      </c>
      <c r="D6" s="7" t="inlineStr">
        <is>
          <t>File Indexer</t>
        </is>
      </c>
      <c r="E6" s="7" t="inlineStr">
        <is>
          <t>Scans all drives for new files</t>
        </is>
      </c>
      <c r="F6" s="8" t="inlineStr">
        <is>
          <t>OPERATIONAL</t>
        </is>
      </c>
      <c r="G6" s="6" t="n">
        <v>95.5</v>
      </c>
      <c r="H6" s="9" t="n">
        <v>45850.34375</v>
      </c>
      <c r="I6" s="6" t="n">
        <v>5</v>
      </c>
      <c r="J6" s="7" t="inlineStr"/>
    </row>
    <row r="7">
      <c r="A7" s="10" t="inlineStr">
        <is>
          <t>A02</t>
        </is>
      </c>
      <c r="B7" s="10" t="inlineStr">
        <is>
          <t>Delta9</t>
        </is>
      </c>
      <c r="C7" s="10" t="inlineStr">
        <is>
          <t>1 (I/O)</t>
        </is>
      </c>
      <c r="D7" s="11" t="inlineStr">
        <is>
          <t>Deduplicator</t>
        </is>
      </c>
      <c r="E7" s="11" t="inlineStr">
        <is>
          <t>Content-based dedup across 6 drives</t>
        </is>
      </c>
      <c r="F7" s="12" t="inlineStr">
        <is>
          <t>OPERATIONAL</t>
        </is>
      </c>
      <c r="G7" s="10" t="n">
        <v>95.7</v>
      </c>
      <c r="H7" s="13" t="n">
        <v>45840.90763888889</v>
      </c>
      <c r="I7" s="10" t="n">
        <v>1</v>
      </c>
      <c r="J7" s="11" t="inlineStr"/>
    </row>
    <row r="8">
      <c r="A8" s="6" t="inlineStr">
        <is>
          <t>A03</t>
        </is>
      </c>
      <c r="B8" s="6" t="inlineStr">
        <is>
          <t>Delta9</t>
        </is>
      </c>
      <c r="C8" s="6" t="inlineStr">
        <is>
          <t>1 (I/O)</t>
        </is>
      </c>
      <c r="D8" s="7" t="inlineStr">
        <is>
          <t>Classifier</t>
        </is>
      </c>
      <c r="E8" s="7" t="inlineStr">
        <is>
          <t>MEEK signal lane assignment</t>
        </is>
      </c>
      <c r="F8" s="8" t="inlineStr">
        <is>
          <t>OPERATIONAL</t>
        </is>
      </c>
      <c r="G8" s="6" t="n">
        <v>95.40000000000001</v>
      </c>
      <c r="H8" s="9" t="n">
        <v>45845.04236111111</v>
      </c>
      <c r="I8" s="6" t="n">
        <v>4</v>
      </c>
      <c r="J8" s="7" t="inlineStr"/>
    </row>
    <row r="9">
      <c r="A9" s="10" t="inlineStr">
        <is>
          <t>A04</t>
        </is>
      </c>
      <c r="B9" s="10" t="inlineStr">
        <is>
          <t>Delta9</t>
        </is>
      </c>
      <c r="C9" s="10" t="inlineStr">
        <is>
          <t>1 (I/O)</t>
        </is>
      </c>
      <c r="D9" s="11" t="inlineStr">
        <is>
          <t>PDF Extractor</t>
        </is>
      </c>
      <c r="E9" s="11" t="inlineStr">
        <is>
          <t>PyMuPDF text/image extraction</t>
        </is>
      </c>
      <c r="F9" s="12" t="inlineStr">
        <is>
          <t>OPERATIONAL</t>
        </is>
      </c>
      <c r="G9" s="10" t="n">
        <v>96.09999999999999</v>
      </c>
      <c r="H9" s="13" t="n">
        <v>45847.79236111111</v>
      </c>
      <c r="I9" s="10" t="n">
        <v>0</v>
      </c>
      <c r="J9" s="11" t="inlineStr"/>
    </row>
    <row r="10">
      <c r="A10" s="6" t="inlineStr">
        <is>
          <t>A05</t>
        </is>
      </c>
      <c r="B10" s="6" t="inlineStr">
        <is>
          <t>Delta9</t>
        </is>
      </c>
      <c r="C10" s="6" t="inlineStr">
        <is>
          <t>1 (I/O)</t>
        </is>
      </c>
      <c r="D10" s="7" t="inlineStr">
        <is>
          <t>DOCX Extractor</t>
        </is>
      </c>
      <c r="E10" s="7" t="inlineStr">
        <is>
          <t>python-docx structured extraction</t>
        </is>
      </c>
      <c r="F10" s="8" t="inlineStr">
        <is>
          <t>OPERATIONAL</t>
        </is>
      </c>
      <c r="G10" s="6" t="n">
        <v>96</v>
      </c>
      <c r="H10" s="9" t="n">
        <v>45849.94027777778</v>
      </c>
      <c r="I10" s="6" t="n">
        <v>4</v>
      </c>
      <c r="J10" s="7" t="inlineStr"/>
    </row>
    <row r="11">
      <c r="A11" s="10" t="inlineStr">
        <is>
          <t>A06</t>
        </is>
      </c>
      <c r="B11" s="10" t="inlineStr">
        <is>
          <t>Delta9</t>
        </is>
      </c>
      <c r="C11" s="10" t="inlineStr">
        <is>
          <t>1 (I/O)</t>
        </is>
      </c>
      <c r="D11" s="11" t="inlineStr">
        <is>
          <t>Structured Extractor</t>
        </is>
      </c>
      <c r="E11" s="11" t="inlineStr">
        <is>
          <t>CSV/JSON/XML parsing</t>
        </is>
      </c>
      <c r="F11" s="12" t="inlineStr">
        <is>
          <t>OPERATIONAL</t>
        </is>
      </c>
      <c r="G11" s="10" t="n">
        <v>96.09999999999999</v>
      </c>
      <c r="H11" s="13" t="n">
        <v>45848.36875</v>
      </c>
      <c r="I11" s="10" t="n">
        <v>3</v>
      </c>
      <c r="J11" s="11" t="inlineStr"/>
    </row>
    <row r="12">
      <c r="A12" s="6" t="inlineStr">
        <is>
          <t>A07</t>
        </is>
      </c>
      <c r="B12" s="6" t="inlineStr">
        <is>
          <t>Delta9</t>
        </is>
      </c>
      <c r="C12" s="6" t="inlineStr">
        <is>
          <t>1 (I/O)</t>
        </is>
      </c>
      <c r="D12" s="7" t="inlineStr">
        <is>
          <t>Atomizer</t>
        </is>
      </c>
      <c r="E12" s="7" t="inlineStr">
        <is>
          <t>Document → atomic evidence units</t>
        </is>
      </c>
      <c r="F12" s="8" t="inlineStr">
        <is>
          <t>OPERATIONAL</t>
        </is>
      </c>
      <c r="G12" s="6" t="n">
        <v>98.7</v>
      </c>
      <c r="H12" s="9" t="n">
        <v>45841.93541666667</v>
      </c>
      <c r="I12" s="6" t="n">
        <v>0</v>
      </c>
      <c r="J12" s="7" t="inlineStr"/>
    </row>
    <row r="13">
      <c r="A13" s="10" t="inlineStr">
        <is>
          <t>A08</t>
        </is>
      </c>
      <c r="B13" s="10" t="inlineStr">
        <is>
          <t>Delta9</t>
        </is>
      </c>
      <c r="C13" s="10" t="inlineStr">
        <is>
          <t>1 (I/O)</t>
        </is>
      </c>
      <c r="D13" s="11" t="inlineStr">
        <is>
          <t>Archive Unpacker</t>
        </is>
      </c>
      <c r="E13" s="11" t="inlineStr">
        <is>
          <t>ZIP/RAR/7z recursive unpack</t>
        </is>
      </c>
      <c r="F13" s="12" t="inlineStr">
        <is>
          <t>OPERATIONAL</t>
        </is>
      </c>
      <c r="G13" s="10" t="n">
        <v>96.40000000000001</v>
      </c>
      <c r="H13" s="13" t="n">
        <v>45842.42083333333</v>
      </c>
      <c r="I13" s="10" t="n">
        <v>2</v>
      </c>
      <c r="J13" s="11" t="inlineStr"/>
    </row>
    <row r="14">
      <c r="A14" s="6" t="inlineStr">
        <is>
          <t>A09</t>
        </is>
      </c>
      <c r="B14" s="6" t="inlineStr">
        <is>
          <t>Delta9</t>
        </is>
      </c>
      <c r="C14" s="6" t="inlineStr">
        <is>
          <t>1 (I/O)</t>
        </is>
      </c>
      <c r="D14" s="7" t="inlineStr">
        <is>
          <t>OCR Processor</t>
        </is>
      </c>
      <c r="E14" s="7" t="inlineStr">
        <is>
          <t>Tesseract OCR for scanned docs</t>
        </is>
      </c>
      <c r="F14" s="8" t="inlineStr">
        <is>
          <t>OPERATIONAL</t>
        </is>
      </c>
      <c r="G14" s="6" t="n">
        <v>96.90000000000001</v>
      </c>
      <c r="H14" s="9" t="n">
        <v>45844.48472222222</v>
      </c>
      <c r="I14" s="6" t="n">
        <v>0</v>
      </c>
      <c r="J14" s="7" t="inlineStr"/>
    </row>
    <row r="15">
      <c r="A15" s="10" t="inlineStr">
        <is>
          <t>A10</t>
        </is>
      </c>
      <c r="B15" s="10" t="inlineStr">
        <is>
          <t>Delta9</t>
        </is>
      </c>
      <c r="C15" s="10" t="inlineStr">
        <is>
          <t>1 (I/O)</t>
        </is>
      </c>
      <c r="D15" s="11" t="inlineStr">
        <is>
          <t>Image Analyzer</t>
        </is>
      </c>
      <c r="E15" s="11" t="inlineStr">
        <is>
          <t>Image metadata + classification</t>
        </is>
      </c>
      <c r="F15" s="12" t="inlineStr">
        <is>
          <t>OPERATIONAL</t>
        </is>
      </c>
      <c r="G15" s="10" t="n">
        <v>99</v>
      </c>
      <c r="H15" s="13" t="n">
        <v>45850.60694444444</v>
      </c>
      <c r="I15" s="10" t="n">
        <v>2</v>
      </c>
      <c r="J15" s="11" t="inlineStr"/>
    </row>
    <row r="16">
      <c r="A16" s="6" t="inlineStr">
        <is>
          <t>A11</t>
        </is>
      </c>
      <c r="B16" s="6" t="inlineStr">
        <is>
          <t>Delta9</t>
        </is>
      </c>
      <c r="C16" s="6" t="inlineStr">
        <is>
          <t>1 (I/O)</t>
        </is>
      </c>
      <c r="D16" s="7" t="inlineStr">
        <is>
          <t>Email Parser</t>
        </is>
      </c>
      <c r="E16" s="7" t="inlineStr">
        <is>
          <t>EML/MSG/MBOX parsing</t>
        </is>
      </c>
      <c r="F16" s="8" t="inlineStr">
        <is>
          <t>OPERATIONAL</t>
        </is>
      </c>
      <c r="G16" s="6" t="n">
        <v>99.8</v>
      </c>
      <c r="H16" s="9" t="n">
        <v>45845.10763888889</v>
      </c>
      <c r="I16" s="6" t="n">
        <v>0</v>
      </c>
      <c r="J16" s="7" t="inlineStr"/>
    </row>
    <row r="17">
      <c r="A17" s="10" t="inlineStr">
        <is>
          <t>A12</t>
        </is>
      </c>
      <c r="B17" s="10" t="inlineStr">
        <is>
          <t>Delta9</t>
        </is>
      </c>
      <c r="C17" s="10" t="inlineStr">
        <is>
          <t>1 (I/O)</t>
        </is>
      </c>
      <c r="D17" s="11" t="inlineStr">
        <is>
          <t>Metadata Enricher</t>
        </is>
      </c>
      <c r="E17" s="11" t="inlineStr">
        <is>
          <t>Enriches file metadata</t>
        </is>
      </c>
      <c r="F17" s="12" t="inlineStr">
        <is>
          <t>OPERATIONAL</t>
        </is>
      </c>
      <c r="G17" s="10" t="n">
        <v>99.09999999999999</v>
      </c>
      <c r="H17" s="13" t="n">
        <v>45848.48333333333</v>
      </c>
      <c r="I17" s="10" t="n">
        <v>2</v>
      </c>
      <c r="J17" s="11" t="inlineStr"/>
    </row>
    <row r="18">
      <c r="A18" s="6" t="inlineStr">
        <is>
          <t>B01</t>
        </is>
      </c>
      <c r="B18" s="6" t="inlineStr">
        <is>
          <t>Delta9</t>
        </is>
      </c>
      <c r="C18" s="6" t="inlineStr">
        <is>
          <t>2 (Processing)</t>
        </is>
      </c>
      <c r="D18" s="7" t="inlineStr">
        <is>
          <t>Evidence Scorer</t>
        </is>
      </c>
      <c r="E18" s="7" t="inlineStr">
        <is>
          <t>EGCP evidence strength scoring</t>
        </is>
      </c>
      <c r="F18" s="8" t="inlineStr">
        <is>
          <t>OPERATIONAL</t>
        </is>
      </c>
      <c r="G18" s="6" t="n">
        <v>98.5</v>
      </c>
      <c r="H18" s="9" t="n">
        <v>45839.88472222222</v>
      </c>
      <c r="I18" s="6" t="n">
        <v>1</v>
      </c>
      <c r="J18" s="7" t="inlineStr"/>
    </row>
    <row r="19">
      <c r="A19" s="10" t="inlineStr">
        <is>
          <t>B02</t>
        </is>
      </c>
      <c r="B19" s="10" t="inlineStr">
        <is>
          <t>Delta9</t>
        </is>
      </c>
      <c r="C19" s="10" t="inlineStr">
        <is>
          <t>2 (Processing)</t>
        </is>
      </c>
      <c r="D19" s="11" t="inlineStr">
        <is>
          <t>Citation Extractor</t>
        </is>
      </c>
      <c r="E19" s="11" t="inlineStr">
        <is>
          <t>Legal citation extraction</t>
        </is>
      </c>
      <c r="F19" s="12" t="inlineStr">
        <is>
          <t>OPERATIONAL</t>
        </is>
      </c>
      <c r="G19" s="10" t="n">
        <v>99.8</v>
      </c>
      <c r="H19" s="13" t="n">
        <v>45852.32986111111</v>
      </c>
      <c r="I19" s="10" t="n">
        <v>2</v>
      </c>
      <c r="J19" s="11" t="inlineStr"/>
    </row>
    <row r="20">
      <c r="A20" s="6" t="inlineStr">
        <is>
          <t>B03</t>
        </is>
      </c>
      <c r="B20" s="6" t="inlineStr">
        <is>
          <t>Delta9</t>
        </is>
      </c>
      <c r="C20" s="6" t="inlineStr">
        <is>
          <t>2 (Processing)</t>
        </is>
      </c>
      <c r="D20" s="7" t="inlineStr">
        <is>
          <t>Timeline Builder</t>
        </is>
      </c>
      <c r="E20" s="7" t="inlineStr">
        <is>
          <t>Chronological event assembly</t>
        </is>
      </c>
      <c r="F20" s="8" t="inlineStr">
        <is>
          <t>OPERATIONAL</t>
        </is>
      </c>
      <c r="G20" s="6" t="n">
        <v>96.90000000000001</v>
      </c>
      <c r="H20" s="9" t="n">
        <v>45846.87013888889</v>
      </c>
      <c r="I20" s="6" t="n">
        <v>0</v>
      </c>
      <c r="J20" s="7" t="inlineStr"/>
    </row>
    <row r="21">
      <c r="A21" s="10" t="inlineStr">
        <is>
          <t>B04</t>
        </is>
      </c>
      <c r="B21" s="10" t="inlineStr">
        <is>
          <t>Delta9</t>
        </is>
      </c>
      <c r="C21" s="10" t="inlineStr">
        <is>
          <t>2 (Processing)</t>
        </is>
      </c>
      <c r="D21" s="11" t="inlineStr">
        <is>
          <t>Entity Resolver</t>
        </is>
      </c>
      <c r="E21" s="11" t="inlineStr">
        <is>
          <t>Name/entity disambiguation</t>
        </is>
      </c>
      <c r="F21" s="12" t="inlineStr">
        <is>
          <t>OPERATIONAL</t>
        </is>
      </c>
      <c r="G21" s="10" t="n">
        <v>95.8</v>
      </c>
      <c r="H21" s="13" t="n">
        <v>45844.27916666667</v>
      </c>
      <c r="I21" s="10" t="n">
        <v>2</v>
      </c>
      <c r="J21" s="11" t="inlineStr"/>
    </row>
    <row r="22">
      <c r="A22" s="6" t="inlineStr">
        <is>
          <t>B05</t>
        </is>
      </c>
      <c r="B22" s="6" t="inlineStr">
        <is>
          <t>Delta9</t>
        </is>
      </c>
      <c r="C22" s="6" t="inlineStr">
        <is>
          <t>2 (Processing)</t>
        </is>
      </c>
      <c r="D22" s="7" t="inlineStr">
        <is>
          <t>Claim Mapper</t>
        </is>
      </c>
      <c r="E22" s="7" t="inlineStr">
        <is>
          <t>Maps evidence to claims</t>
        </is>
      </c>
      <c r="F22" s="8" t="inlineStr">
        <is>
          <t>OPERATIONAL</t>
        </is>
      </c>
      <c r="G22" s="6" t="n">
        <v>98.40000000000001</v>
      </c>
      <c r="H22" s="9" t="n">
        <v>45849.83611111111</v>
      </c>
      <c r="I22" s="6" t="n">
        <v>2</v>
      </c>
      <c r="J22" s="7" t="inlineStr"/>
    </row>
    <row r="23">
      <c r="A23" s="10" t="inlineStr">
        <is>
          <t>B06</t>
        </is>
      </c>
      <c r="B23" s="10" t="inlineStr">
        <is>
          <t>Delta9</t>
        </is>
      </c>
      <c r="C23" s="10" t="inlineStr">
        <is>
          <t>2 (Processing)</t>
        </is>
      </c>
      <c r="D23" s="11" t="inlineStr">
        <is>
          <t>Harm Quantifier</t>
        </is>
      </c>
      <c r="E23" s="11" t="inlineStr">
        <is>
          <t>Quantifies harm per claim</t>
        </is>
      </c>
      <c r="F23" s="12" t="inlineStr">
        <is>
          <t>OPERATIONAL</t>
        </is>
      </c>
      <c r="G23" s="10" t="n">
        <v>97.59999999999999</v>
      </c>
      <c r="H23" s="13" t="n">
        <v>45842.22847222222</v>
      </c>
      <c r="I23" s="10" t="n">
        <v>1</v>
      </c>
      <c r="J23" s="11" t="inlineStr"/>
    </row>
    <row r="24">
      <c r="A24" s="6" t="inlineStr">
        <is>
          <t>C01</t>
        </is>
      </c>
      <c r="B24" s="6" t="inlineStr">
        <is>
          <t>Delta9</t>
        </is>
      </c>
      <c r="C24" s="6" t="inlineStr">
        <is>
          <t>3 (Assembly)</t>
        </is>
      </c>
      <c r="D24" s="7" t="inlineStr">
        <is>
          <t>Filing Assembler</t>
        </is>
      </c>
      <c r="E24" s="7" t="inlineStr">
        <is>
          <t>Assembles court filings</t>
        </is>
      </c>
      <c r="F24" s="8" t="inlineStr">
        <is>
          <t>OPERATIONAL</t>
        </is>
      </c>
      <c r="G24" s="6" t="n">
        <v>96.3</v>
      </c>
      <c r="H24" s="9" t="n">
        <v>45849.94097222222</v>
      </c>
      <c r="I24" s="6" t="n">
        <v>1</v>
      </c>
      <c r="J24" s="7" t="inlineStr"/>
    </row>
    <row r="25">
      <c r="A25" s="10" t="inlineStr">
        <is>
          <t>C02</t>
        </is>
      </c>
      <c r="B25" s="10" t="inlineStr">
        <is>
          <t>Delta9</t>
        </is>
      </c>
      <c r="C25" s="10" t="inlineStr">
        <is>
          <t>3 (Assembly)</t>
        </is>
      </c>
      <c r="D25" s="11" t="inlineStr">
        <is>
          <t>Brief Generator</t>
        </is>
      </c>
      <c r="E25" s="11" t="inlineStr">
        <is>
          <t>Generates legal briefs</t>
        </is>
      </c>
      <c r="F25" s="12" t="inlineStr">
        <is>
          <t>OPERATIONAL</t>
        </is>
      </c>
      <c r="G25" s="10" t="n">
        <v>98.40000000000001</v>
      </c>
      <c r="H25" s="13" t="n">
        <v>45852.05138888889</v>
      </c>
      <c r="I25" s="10" t="n">
        <v>0</v>
      </c>
      <c r="J25" s="11" t="inlineStr"/>
    </row>
    <row r="26">
      <c r="A26" s="6" t="inlineStr">
        <is>
          <t>C03</t>
        </is>
      </c>
      <c r="B26" s="6" t="inlineStr">
        <is>
          <t>Delta9</t>
        </is>
      </c>
      <c r="C26" s="6" t="inlineStr">
        <is>
          <t>3 (Assembly)</t>
        </is>
      </c>
      <c r="D26" s="7" t="inlineStr">
        <is>
          <t>QA Validator</t>
        </is>
      </c>
      <c r="E26" s="7" t="inlineStr">
        <is>
          <t>Pre-filing quality assurance</t>
        </is>
      </c>
      <c r="F26" s="8" t="inlineStr">
        <is>
          <t>OPERATIONAL</t>
        </is>
      </c>
      <c r="G26" s="6" t="n">
        <v>98.90000000000001</v>
      </c>
      <c r="H26" s="9" t="n">
        <v>45845.33611111111</v>
      </c>
      <c r="I26" s="6" t="n">
        <v>0</v>
      </c>
      <c r="J26" s="7" t="inlineStr"/>
    </row>
    <row r="27">
      <c r="A27" s="10" t="inlineStr">
        <is>
          <t>C04</t>
        </is>
      </c>
      <c r="B27" s="10" t="inlineStr">
        <is>
          <t>Delta9</t>
        </is>
      </c>
      <c r="C27" s="10" t="inlineStr">
        <is>
          <t>3 (Assembly)</t>
        </is>
      </c>
      <c r="D27" s="11" t="inlineStr">
        <is>
          <t>Service Tracker</t>
        </is>
      </c>
      <c r="E27" s="11" t="inlineStr">
        <is>
          <t>Proof-of-service tracking</t>
        </is>
      </c>
      <c r="F27" s="12" t="inlineStr">
        <is>
          <t>OPERATIONAL</t>
        </is>
      </c>
      <c r="G27" s="10" t="n">
        <v>99.5</v>
      </c>
      <c r="H27" s="13" t="n">
        <v>45848.93055555555</v>
      </c>
      <c r="I27" s="10" t="n">
        <v>0</v>
      </c>
      <c r="J27" s="11" t="inlineStr"/>
    </row>
    <row r="28">
      <c r="A28" s="6" t="inlineStr">
        <is>
          <t>J01</t>
        </is>
      </c>
      <c r="B28" s="6" t="inlineStr">
        <is>
          <t>Delta9</t>
        </is>
      </c>
      <c r="C28" s="6" t="inlineStr">
        <is>
          <t>J (Judicial)</t>
        </is>
      </c>
      <c r="D28" s="7" t="inlineStr">
        <is>
          <t>Judicial Profiler</t>
        </is>
      </c>
      <c r="E28" s="7" t="inlineStr">
        <is>
          <t>Profiles judge rulings/patterns</t>
        </is>
      </c>
      <c r="F28" s="8" t="inlineStr">
        <is>
          <t>OPERATIONAL</t>
        </is>
      </c>
      <c r="G28" s="6" t="n">
        <v>98.2</v>
      </c>
      <c r="H28" s="9" t="n">
        <v>45845.85347222222</v>
      </c>
      <c r="I28" s="6" t="n">
        <v>1</v>
      </c>
      <c r="J28" s="7" t="inlineStr"/>
    </row>
    <row r="29">
      <c r="A29" s="10" t="inlineStr">
        <is>
          <t>J02</t>
        </is>
      </c>
      <c r="B29" s="10" t="inlineStr">
        <is>
          <t>Delta9</t>
        </is>
      </c>
      <c r="C29" s="10" t="inlineStr">
        <is>
          <t>J (Judicial)</t>
        </is>
      </c>
      <c r="D29" s="11" t="inlineStr">
        <is>
          <t>Bias Quantifier</t>
        </is>
      </c>
      <c r="E29" s="11" t="inlineStr">
        <is>
          <t>Quantifies judicial bias metrics</t>
        </is>
      </c>
      <c r="F29" s="12" t="inlineStr">
        <is>
          <t>OPERATIONAL</t>
        </is>
      </c>
      <c r="G29" s="10" t="n">
        <v>96.3</v>
      </c>
      <c r="H29" s="13" t="n">
        <v>45842.98263888889</v>
      </c>
      <c r="I29" s="10" t="n">
        <v>1</v>
      </c>
      <c r="J29" s="11" t="inlineStr"/>
    </row>
    <row r="30">
      <c r="A30" s="6" t="inlineStr">
        <is>
          <t>J03</t>
        </is>
      </c>
      <c r="B30" s="6" t="inlineStr">
        <is>
          <t>Delta9</t>
        </is>
      </c>
      <c r="C30" s="6" t="inlineStr">
        <is>
          <t>J (Judicial)</t>
        </is>
      </c>
      <c r="D30" s="7" t="inlineStr">
        <is>
          <t>Ex Parte Detector</t>
        </is>
      </c>
      <c r="E30" s="7" t="inlineStr">
        <is>
          <t>Detects ex parte communications</t>
        </is>
      </c>
      <c r="F30" s="8" t="inlineStr">
        <is>
          <t>OPERATIONAL</t>
        </is>
      </c>
      <c r="G30" s="6" t="n">
        <v>96.3</v>
      </c>
      <c r="H30" s="9" t="n">
        <v>45848.58125</v>
      </c>
      <c r="I30" s="6" t="n">
        <v>4</v>
      </c>
      <c r="J30" s="7" t="inlineStr"/>
    </row>
    <row r="31">
      <c r="A31" s="10" t="inlineStr">
        <is>
          <t>J04</t>
        </is>
      </c>
      <c r="B31" s="10" t="inlineStr">
        <is>
          <t>Delta9</t>
        </is>
      </c>
      <c r="C31" s="10" t="inlineStr">
        <is>
          <t>J (Judicial)</t>
        </is>
      </c>
      <c r="D31" s="11" t="inlineStr">
        <is>
          <t>Ruling Analyzer</t>
        </is>
      </c>
      <c r="E31" s="11" t="inlineStr">
        <is>
          <t>Analyzes ruling consistency</t>
        </is>
      </c>
      <c r="F31" s="12" t="inlineStr">
        <is>
          <t>OPERATIONAL</t>
        </is>
      </c>
      <c r="G31" s="10" t="n">
        <v>97</v>
      </c>
      <c r="H31" s="13" t="n">
        <v>45842.18888888889</v>
      </c>
      <c r="I31" s="10" t="n">
        <v>4</v>
      </c>
      <c r="J31" s="11" t="inlineStr"/>
    </row>
    <row r="32">
      <c r="A32" s="6" t="inlineStr">
        <is>
          <t>K01</t>
        </is>
      </c>
      <c r="B32" s="6" t="inlineStr">
        <is>
          <t>Delta9</t>
        </is>
      </c>
      <c r="C32" s="6" t="inlineStr">
        <is>
          <t>K (Intel)</t>
        </is>
      </c>
      <c r="D32" s="7" t="inlineStr">
        <is>
          <t>Case Intel</t>
        </is>
      </c>
      <c r="E32" s="7" t="inlineStr">
        <is>
          <t>Case intelligence gathering</t>
        </is>
      </c>
      <c r="F32" s="8" t="inlineStr">
        <is>
          <t>OPERATIONAL</t>
        </is>
      </c>
      <c r="G32" s="6" t="n">
        <v>95.40000000000001</v>
      </c>
      <c r="H32" s="9" t="n">
        <v>45839.13125</v>
      </c>
      <c r="I32" s="6" t="n">
        <v>3</v>
      </c>
      <c r="J32" s="7" t="inlineStr"/>
    </row>
    <row r="33">
      <c r="A33" s="10" t="inlineStr">
        <is>
          <t>K02</t>
        </is>
      </c>
      <c r="B33" s="10" t="inlineStr">
        <is>
          <t>Delta9</t>
        </is>
      </c>
      <c r="C33" s="10" t="inlineStr">
        <is>
          <t>K (Intel)</t>
        </is>
      </c>
      <c r="D33" s="11" t="inlineStr">
        <is>
          <t>Opposing Strategy</t>
        </is>
      </c>
      <c r="E33" s="11" t="inlineStr">
        <is>
          <t>Opposing counsel strategy analysis</t>
        </is>
      </c>
      <c r="F33" s="12" t="inlineStr">
        <is>
          <t>OPERATIONAL</t>
        </is>
      </c>
      <c r="G33" s="10" t="n">
        <v>98.90000000000001</v>
      </c>
      <c r="H33" s="13" t="n">
        <v>45845.79444444444</v>
      </c>
      <c r="I33" s="10" t="n">
        <v>1</v>
      </c>
      <c r="J33" s="11" t="inlineStr"/>
    </row>
    <row r="34">
      <c r="A34" s="6" t="inlineStr">
        <is>
          <t>K03</t>
        </is>
      </c>
      <c r="B34" s="6" t="inlineStr">
        <is>
          <t>Delta9</t>
        </is>
      </c>
      <c r="C34" s="6" t="inlineStr">
        <is>
          <t>K (Intel)</t>
        </is>
      </c>
      <c r="D34" s="7" t="inlineStr">
        <is>
          <t>Settlement Analyzer</t>
        </is>
      </c>
      <c r="E34" s="7" t="inlineStr">
        <is>
          <t>Settlement value analysis</t>
        </is>
      </c>
      <c r="F34" s="8" t="inlineStr">
        <is>
          <t>OPERATIONAL</t>
        </is>
      </c>
      <c r="G34" s="6" t="n">
        <v>96.90000000000001</v>
      </c>
      <c r="H34" s="9" t="n">
        <v>45846.67777777778</v>
      </c>
      <c r="I34" s="6" t="n">
        <v>3</v>
      </c>
      <c r="J34" s="7" t="inlineStr"/>
    </row>
    <row r="35">
      <c r="A35" s="10" t="inlineStr">
        <is>
          <t>K04</t>
        </is>
      </c>
      <c r="B35" s="10" t="inlineStr">
        <is>
          <t>Delta9</t>
        </is>
      </c>
      <c r="C35" s="10" t="inlineStr">
        <is>
          <t>K (Intel)</t>
        </is>
      </c>
      <c r="D35" s="11" t="inlineStr">
        <is>
          <t>Risk Scorer</t>
        </is>
      </c>
      <c r="E35" s="11" t="inlineStr">
        <is>
          <t>Case risk assessment scoring</t>
        </is>
      </c>
      <c r="F35" s="12" t="inlineStr">
        <is>
          <t>OPERATIONAL</t>
        </is>
      </c>
      <c r="G35" s="10" t="n">
        <v>98.3</v>
      </c>
      <c r="H35" s="13" t="n">
        <v>45840.91388888889</v>
      </c>
      <c r="I35" s="10" t="n">
        <v>0</v>
      </c>
      <c r="J35" s="11" t="inlineStr"/>
    </row>
    <row r="36">
      <c r="A36" s="6" t="inlineStr">
        <is>
          <t>L01</t>
        </is>
      </c>
      <c r="B36" s="6" t="inlineStr">
        <is>
          <t>Delta9</t>
        </is>
      </c>
      <c r="C36" s="6" t="inlineStr">
        <is>
          <t>L (Legal)</t>
        </is>
      </c>
      <c r="D36" s="7" t="inlineStr">
        <is>
          <t>Legal Researcher</t>
        </is>
      </c>
      <c r="E36" s="7" t="inlineStr">
        <is>
          <t>Legal authority research</t>
        </is>
      </c>
      <c r="F36" s="8" t="inlineStr">
        <is>
          <t>OPERATIONAL</t>
        </is>
      </c>
      <c r="G36" s="6" t="n">
        <v>98.7</v>
      </c>
      <c r="H36" s="9" t="n">
        <v>45851.84791666667</v>
      </c>
      <c r="I36" s="6" t="n">
        <v>4</v>
      </c>
      <c r="J36" s="7" t="inlineStr"/>
    </row>
    <row r="37">
      <c r="A37" s="10" t="inlineStr">
        <is>
          <t>L02</t>
        </is>
      </c>
      <c r="B37" s="10" t="inlineStr">
        <is>
          <t>Delta9</t>
        </is>
      </c>
      <c r="C37" s="10" t="inlineStr">
        <is>
          <t>L (Legal)</t>
        </is>
      </c>
      <c r="D37" s="11" t="inlineStr">
        <is>
          <t>Authority Validator</t>
        </is>
      </c>
      <c r="E37" s="11" t="inlineStr">
        <is>
          <t>Validates legal citations</t>
        </is>
      </c>
      <c r="F37" s="12" t="inlineStr">
        <is>
          <t>OPERATIONAL</t>
        </is>
      </c>
      <c r="G37" s="10" t="n">
        <v>96.40000000000001</v>
      </c>
      <c r="H37" s="13" t="n">
        <v>45841.58333333334</v>
      </c>
      <c r="I37" s="10" t="n">
        <v>0</v>
      </c>
      <c r="J37" s="11" t="inlineStr"/>
    </row>
    <row r="38">
      <c r="A38" s="6" t="inlineStr">
        <is>
          <t>L03</t>
        </is>
      </c>
      <c r="B38" s="6" t="inlineStr">
        <is>
          <t>Delta9</t>
        </is>
      </c>
      <c r="C38" s="6" t="inlineStr">
        <is>
          <t>L (Legal)</t>
        </is>
      </c>
      <c r="D38" s="7" t="inlineStr">
        <is>
          <t>Citation Verifier</t>
        </is>
      </c>
      <c r="E38" s="7" t="inlineStr">
        <is>
          <t>Cross-references citations</t>
        </is>
      </c>
      <c r="F38" s="8" t="inlineStr">
        <is>
          <t>OPERATIONAL</t>
        </is>
      </c>
      <c r="G38" s="6" t="n">
        <v>99.8</v>
      </c>
      <c r="H38" s="9" t="n">
        <v>45851.23055555556</v>
      </c>
      <c r="I38" s="6" t="n">
        <v>2</v>
      </c>
      <c r="J38" s="7" t="inlineStr"/>
    </row>
    <row r="39">
      <c r="A39" s="10" t="inlineStr">
        <is>
          <t>L04</t>
        </is>
      </c>
      <c r="B39" s="10" t="inlineStr">
        <is>
          <t>Delta9</t>
        </is>
      </c>
      <c r="C39" s="10" t="inlineStr">
        <is>
          <t>L (Legal)</t>
        </is>
      </c>
      <c r="D39" s="11" t="inlineStr">
        <is>
          <t>MCR Compliance</t>
        </is>
      </c>
      <c r="E39" s="11" t="inlineStr">
        <is>
          <t>Michigan Court Rule compliance</t>
        </is>
      </c>
      <c r="F39" s="12" t="inlineStr">
        <is>
          <t>OPERATIONAL</t>
        </is>
      </c>
      <c r="G39" s="10" t="n">
        <v>99.3</v>
      </c>
      <c r="H39" s="13" t="n">
        <v>45843.85555555556</v>
      </c>
      <c r="I39" s="10" t="n">
        <v>0</v>
      </c>
      <c r="J39" s="11" t="inlineStr"/>
    </row>
    <row r="40">
      <c r="A40" s="6" t="inlineStr">
        <is>
          <t>L05</t>
        </is>
      </c>
      <c r="B40" s="6" t="inlineStr">
        <is>
          <t>Delta9</t>
        </is>
      </c>
      <c r="C40" s="6" t="inlineStr">
        <is>
          <t>L (Legal)</t>
        </is>
      </c>
      <c r="D40" s="7" t="inlineStr">
        <is>
          <t>SOL Monitor</t>
        </is>
      </c>
      <c r="E40" s="7" t="inlineStr">
        <is>
          <t>Statute of limitations monitor</t>
        </is>
      </c>
      <c r="F40" s="8" t="inlineStr">
        <is>
          <t>OPERATIONAL</t>
        </is>
      </c>
      <c r="G40" s="6" t="n">
        <v>96</v>
      </c>
      <c r="H40" s="9" t="n">
        <v>45844.23194444444</v>
      </c>
      <c r="I40" s="6" t="n">
        <v>4</v>
      </c>
      <c r="J40" s="7" t="inlineStr"/>
    </row>
    <row r="41">
      <c r="A41" s="10" t="inlineStr">
        <is>
          <t>L06</t>
        </is>
      </c>
      <c r="B41" s="10" t="inlineStr">
        <is>
          <t>Delta9</t>
        </is>
      </c>
      <c r="C41" s="10" t="inlineStr">
        <is>
          <t>L (Legal)</t>
        </is>
      </c>
      <c r="D41" s="11" t="inlineStr">
        <is>
          <t>BIF Scorer</t>
        </is>
      </c>
      <c r="E41" s="11" t="inlineStr">
        <is>
          <t>Best interest factors scoring</t>
        </is>
      </c>
      <c r="F41" s="12" t="inlineStr">
        <is>
          <t>OPERATIONAL</t>
        </is>
      </c>
      <c r="G41" s="10" t="n">
        <v>99.5</v>
      </c>
      <c r="H41" s="13" t="n">
        <v>45848.43819444445</v>
      </c>
      <c r="I41" s="10" t="n">
        <v>4</v>
      </c>
      <c r="J41" s="11" t="inlineStr"/>
    </row>
    <row r="42">
      <c r="A42" s="6" t="inlineStr">
        <is>
          <t>L07</t>
        </is>
      </c>
      <c r="B42" s="6" t="inlineStr">
        <is>
          <t>Delta9</t>
        </is>
      </c>
      <c r="C42" s="6" t="inlineStr">
        <is>
          <t>L (Legal)</t>
        </is>
      </c>
      <c r="D42" s="7" t="inlineStr">
        <is>
          <t>Alienation Quantifier</t>
        </is>
      </c>
      <c r="E42" s="7" t="inlineStr">
        <is>
          <t>Parental alienation metrics</t>
        </is>
      </c>
      <c r="F42" s="8" t="inlineStr">
        <is>
          <t>OPERATIONAL</t>
        </is>
      </c>
      <c r="G42" s="6" t="n">
        <v>95.5</v>
      </c>
      <c r="H42" s="9" t="n">
        <v>45844.38541666666</v>
      </c>
      <c r="I42" s="6" t="n">
        <v>0</v>
      </c>
      <c r="J42" s="7" t="inlineStr"/>
    </row>
    <row r="43">
      <c r="A43" s="10" t="inlineStr">
        <is>
          <t>L08</t>
        </is>
      </c>
      <c r="B43" s="10" t="inlineStr">
        <is>
          <t>Delta9</t>
        </is>
      </c>
      <c r="C43" s="10" t="inlineStr">
        <is>
          <t>L (Legal)</t>
        </is>
      </c>
      <c r="D43" s="11" t="inlineStr">
        <is>
          <t>Impeachment Builder</t>
        </is>
      </c>
      <c r="E43" s="11" t="inlineStr">
        <is>
          <t>Witness impeachment builder</t>
        </is>
      </c>
      <c r="F43" s="12" t="inlineStr">
        <is>
          <t>OPERATIONAL</t>
        </is>
      </c>
      <c r="G43" s="10" t="n">
        <v>96.2</v>
      </c>
      <c r="H43" s="13" t="n">
        <v>45848.08680555555</v>
      </c>
      <c r="I43" s="10" t="n">
        <v>0</v>
      </c>
      <c r="J43" s="11" t="inlineStr"/>
    </row>
    <row r="44">
      <c r="A44" s="14" t="inlineStr">
        <is>
          <t xml:space="preserve">  ▸ Convergence Fleet — 6 Agents (F01-F06)</t>
        </is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0" t="inlineStr">
        <is>
          <t>F01</t>
        </is>
      </c>
      <c r="B45" s="10" t="inlineStr">
        <is>
          <t>Convergence</t>
        </is>
      </c>
      <c r="C45" s="10" t="inlineStr">
        <is>
          <t>F (Convergence)</t>
        </is>
      </c>
      <c r="D45" s="11" t="inlineStr">
        <is>
          <t>Filing Assembly</t>
        </is>
      </c>
      <c r="E45" s="11" t="inlineStr">
        <is>
          <t>Cross-lane filing assembly</t>
        </is>
      </c>
      <c r="F45" s="12" t="inlineStr">
        <is>
          <t>OPERATIONAL</t>
        </is>
      </c>
      <c r="G45" s="10" t="n">
        <v>97.40000000000001</v>
      </c>
      <c r="H45" s="13" t="n">
        <v>45840.74236111111</v>
      </c>
      <c r="I45" s="10" t="n">
        <v>2</v>
      </c>
      <c r="J45" s="11" t="inlineStr"/>
    </row>
    <row r="46">
      <c r="A46" s="6" t="inlineStr">
        <is>
          <t>F02</t>
        </is>
      </c>
      <c r="B46" s="6" t="inlineStr">
        <is>
          <t>Convergence</t>
        </is>
      </c>
      <c r="C46" s="6" t="inlineStr">
        <is>
          <t>F (Convergence)</t>
        </is>
      </c>
      <c r="D46" s="7" t="inlineStr">
        <is>
          <t>Brain Feed</t>
        </is>
      </c>
      <c r="E46" s="7" t="inlineStr">
        <is>
          <t>LEXOS brain feed generation</t>
        </is>
      </c>
      <c r="F46" s="8" t="inlineStr">
        <is>
          <t>OPERATIONAL</t>
        </is>
      </c>
      <c r="G46" s="6" t="n">
        <v>95.59999999999999</v>
      </c>
      <c r="H46" s="9" t="n">
        <v>45846.71527777778</v>
      </c>
      <c r="I46" s="6" t="n">
        <v>0</v>
      </c>
      <c r="J46" s="7" t="inlineStr"/>
    </row>
    <row r="47">
      <c r="A47" s="10" t="inlineStr">
        <is>
          <t>F03</t>
        </is>
      </c>
      <c r="B47" s="10" t="inlineStr">
        <is>
          <t>Convergence</t>
        </is>
      </c>
      <c r="C47" s="10" t="inlineStr">
        <is>
          <t>F (Convergence)</t>
        </is>
      </c>
      <c r="D47" s="11" t="inlineStr">
        <is>
          <t>Graph Build</t>
        </is>
      </c>
      <c r="E47" s="11" t="inlineStr">
        <is>
          <t>Knowledge graph construction</t>
        </is>
      </c>
      <c r="F47" s="12" t="inlineStr">
        <is>
          <t>OPERATIONAL</t>
        </is>
      </c>
      <c r="G47" s="10" t="n">
        <v>97.59999999999999</v>
      </c>
      <c r="H47" s="13" t="n">
        <v>45848.55069444444</v>
      </c>
      <c r="I47" s="10" t="n">
        <v>1</v>
      </c>
      <c r="J47" s="11" t="inlineStr"/>
    </row>
    <row r="48">
      <c r="A48" s="6" t="inlineStr">
        <is>
          <t>F04</t>
        </is>
      </c>
      <c r="B48" s="6" t="inlineStr">
        <is>
          <t>Convergence</t>
        </is>
      </c>
      <c r="C48" s="6" t="inlineStr">
        <is>
          <t>F (Convergence)</t>
        </is>
      </c>
      <c r="D48" s="7" t="inlineStr">
        <is>
          <t>Certification</t>
        </is>
      </c>
      <c r="E48" s="7" t="inlineStr">
        <is>
          <t>Filing certification + signing</t>
        </is>
      </c>
      <c r="F48" s="8" t="inlineStr">
        <is>
          <t>OPERATIONAL</t>
        </is>
      </c>
      <c r="G48" s="6" t="n">
        <v>98.7</v>
      </c>
      <c r="H48" s="9" t="n">
        <v>45850.28125</v>
      </c>
      <c r="I48" s="6" t="n">
        <v>2</v>
      </c>
      <c r="J48" s="7" t="inlineStr"/>
    </row>
    <row r="49">
      <c r="A49" s="10" t="inlineStr">
        <is>
          <t>F05</t>
        </is>
      </c>
      <c r="B49" s="10" t="inlineStr">
        <is>
          <t>Convergence</t>
        </is>
      </c>
      <c r="C49" s="10" t="inlineStr">
        <is>
          <t>F (Convergence)</t>
        </is>
      </c>
      <c r="D49" s="11" t="inlineStr">
        <is>
          <t>Cross-Lane Sync</t>
        </is>
      </c>
      <c r="E49" s="11" t="inlineStr">
        <is>
          <t>Lane synchronization engine</t>
        </is>
      </c>
      <c r="F49" s="12" t="inlineStr">
        <is>
          <t>OPERATIONAL</t>
        </is>
      </c>
      <c r="G49" s="10" t="n">
        <v>97</v>
      </c>
      <c r="H49" s="13" t="n">
        <v>45849.84930555556</v>
      </c>
      <c r="I49" s="10" t="n">
        <v>1</v>
      </c>
      <c r="J49" s="11" t="inlineStr"/>
    </row>
    <row r="50">
      <c r="A50" s="6" t="inlineStr">
        <is>
          <t>F06</t>
        </is>
      </c>
      <c r="B50" s="6" t="inlineStr">
        <is>
          <t>Convergence</t>
        </is>
      </c>
      <c r="C50" s="6" t="inlineStr">
        <is>
          <t>F (Convergence)</t>
        </is>
      </c>
      <c r="D50" s="7" t="inlineStr">
        <is>
          <t>Export</t>
        </is>
      </c>
      <c r="E50" s="7" t="inlineStr">
        <is>
          <t>CyclePack graph export</t>
        </is>
      </c>
      <c r="F50" s="8" t="inlineStr">
        <is>
          <t>OPERATIONAL</t>
        </is>
      </c>
      <c r="G50" s="6" t="n">
        <v>99.40000000000001</v>
      </c>
      <c r="H50" s="9" t="n">
        <v>45846.13541666666</v>
      </c>
      <c r="I50" s="6" t="n">
        <v>1</v>
      </c>
      <c r="J50" s="7" t="inlineStr"/>
    </row>
    <row r="51">
      <c r="A51" s="16" t="inlineStr">
        <is>
          <t xml:space="preserve">  ▸ Delta999 Advanced Engines — 12 Agents</t>
        </is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</row>
    <row r="52">
      <c r="A52" s="6" t="inlineStr">
        <is>
          <t>D999-01</t>
        </is>
      </c>
      <c r="B52" s="6" t="inlineStr">
        <is>
          <t>Delta999</t>
        </is>
      </c>
      <c r="C52" s="6" t="inlineStr">
        <is>
          <t>D999 (Advanced)</t>
        </is>
      </c>
      <c r="D52" s="7" t="inlineStr">
        <is>
          <t>Classifier</t>
        </is>
      </c>
      <c r="E52" s="7" t="inlineStr">
        <is>
          <t>Advanced ML classification</t>
        </is>
      </c>
      <c r="F52" s="8" t="inlineStr">
        <is>
          <t>OPERATIONAL</t>
        </is>
      </c>
      <c r="G52" s="6" t="n">
        <v>95.09999999999999</v>
      </c>
      <c r="H52" s="9" t="n">
        <v>45847.31736111111</v>
      </c>
      <c r="I52" s="6" t="n">
        <v>2</v>
      </c>
      <c r="J52" s="7" t="inlineStr"/>
    </row>
    <row r="53">
      <c r="A53" s="10" t="inlineStr">
        <is>
          <t>D999-02</t>
        </is>
      </c>
      <c r="B53" s="10" t="inlineStr">
        <is>
          <t>Delta999</t>
        </is>
      </c>
      <c r="C53" s="10" t="inlineStr">
        <is>
          <t>D999 (Advanced)</t>
        </is>
      </c>
      <c r="D53" s="11" t="inlineStr">
        <is>
          <t>Validator</t>
        </is>
      </c>
      <c r="E53" s="11" t="inlineStr">
        <is>
          <t>Multi-stage validation engine</t>
        </is>
      </c>
      <c r="F53" s="12" t="inlineStr">
        <is>
          <t>OPERATIONAL</t>
        </is>
      </c>
      <c r="G53" s="10" t="n">
        <v>98.5</v>
      </c>
      <c r="H53" s="13" t="n">
        <v>45839.29444444444</v>
      </c>
      <c r="I53" s="10" t="n">
        <v>0</v>
      </c>
      <c r="J53" s="11" t="inlineStr"/>
    </row>
    <row r="54">
      <c r="A54" s="6" t="inlineStr">
        <is>
          <t>D999-03</t>
        </is>
      </c>
      <c r="B54" s="6" t="inlineStr">
        <is>
          <t>Delta999</t>
        </is>
      </c>
      <c r="C54" s="6" t="inlineStr">
        <is>
          <t>D999 (Advanced)</t>
        </is>
      </c>
      <c r="D54" s="7" t="inlineStr">
        <is>
          <t>Brief Engine</t>
        </is>
      </c>
      <c r="E54" s="7" t="inlineStr">
        <is>
          <t>Automated brief drafting</t>
        </is>
      </c>
      <c r="F54" s="8" t="inlineStr">
        <is>
          <t>OPERATIONAL</t>
        </is>
      </c>
      <c r="G54" s="6" t="n">
        <v>96.59999999999999</v>
      </c>
      <c r="H54" s="9" t="n">
        <v>45847.30347222222</v>
      </c>
      <c r="I54" s="6" t="n">
        <v>6</v>
      </c>
      <c r="J54" s="7" t="inlineStr"/>
    </row>
    <row r="55">
      <c r="A55" s="10" t="inlineStr">
        <is>
          <t>D999-04</t>
        </is>
      </c>
      <c r="B55" s="10" t="inlineStr">
        <is>
          <t>Delta999</t>
        </is>
      </c>
      <c r="C55" s="10" t="inlineStr">
        <is>
          <t>D999 (Advanced)</t>
        </is>
      </c>
      <c r="D55" s="11" t="inlineStr">
        <is>
          <t>Opposing Engine</t>
        </is>
      </c>
      <c r="E55" s="11" t="inlineStr">
        <is>
          <t>Counter-argument generation</t>
        </is>
      </c>
      <c r="F55" s="12" t="inlineStr">
        <is>
          <t>OPERATIONAL</t>
        </is>
      </c>
      <c r="G55" s="10" t="n">
        <v>97.59999999999999</v>
      </c>
      <c r="H55" s="13" t="n">
        <v>45850.775</v>
      </c>
      <c r="I55" s="10" t="n">
        <v>1</v>
      </c>
      <c r="J55" s="11" t="inlineStr"/>
    </row>
    <row r="56">
      <c r="A56" s="6" t="inlineStr">
        <is>
          <t>D999-05</t>
        </is>
      </c>
      <c r="B56" s="6" t="inlineStr">
        <is>
          <t>Delta999</t>
        </is>
      </c>
      <c r="C56" s="6" t="inlineStr">
        <is>
          <t>D999 (Advanced)</t>
        </is>
      </c>
      <c r="D56" s="7" t="inlineStr">
        <is>
          <t>Settlement Engine</t>
        </is>
      </c>
      <c r="E56" s="7" t="inlineStr">
        <is>
          <t>Settlement strategy engine</t>
        </is>
      </c>
      <c r="F56" s="8" t="inlineStr">
        <is>
          <t>OPERATIONAL</t>
        </is>
      </c>
      <c r="G56" s="6" t="n">
        <v>97.3</v>
      </c>
      <c r="H56" s="9" t="n">
        <v>45845.25416666667</v>
      </c>
      <c r="I56" s="6" t="n">
        <v>6</v>
      </c>
      <c r="J56" s="7" t="inlineStr"/>
    </row>
    <row r="57">
      <c r="A57" s="10" t="inlineStr">
        <is>
          <t>D999-06</t>
        </is>
      </c>
      <c r="B57" s="10" t="inlineStr">
        <is>
          <t>Delta999</t>
        </is>
      </c>
      <c r="C57" s="10" t="inlineStr">
        <is>
          <t>D999 (Advanced)</t>
        </is>
      </c>
      <c r="D57" s="11" t="inlineStr">
        <is>
          <t>Assembly Engine</t>
        </is>
      </c>
      <c r="E57" s="11" t="inlineStr">
        <is>
          <t>Multi-document assembly</t>
        </is>
      </c>
      <c r="F57" s="18" t="inlineStr">
        <is>
          <t>DEGRADED</t>
        </is>
      </c>
      <c r="G57" s="10" t="n">
        <v>85.3</v>
      </c>
      <c r="H57" s="13" t="n">
        <v>45845.62152777778</v>
      </c>
      <c r="I57" s="10" t="n">
        <v>3</v>
      </c>
      <c r="J57" s="11" t="inlineStr"/>
    </row>
    <row r="58">
      <c r="A58" s="6" t="inlineStr">
        <is>
          <t>D999-07</t>
        </is>
      </c>
      <c r="B58" s="6" t="inlineStr">
        <is>
          <t>Delta999</t>
        </is>
      </c>
      <c r="C58" s="6" t="inlineStr">
        <is>
          <t>D999 (Advanced)</t>
        </is>
      </c>
      <c r="D58" s="7" t="inlineStr">
        <is>
          <t>Deadline Engine</t>
        </is>
      </c>
      <c r="E58" s="7" t="inlineStr">
        <is>
          <t>Deadline tracking + alerts</t>
        </is>
      </c>
      <c r="F58" s="8" t="inlineStr">
        <is>
          <t>OPERATIONAL</t>
        </is>
      </c>
      <c r="G58" s="6" t="n">
        <v>98.2</v>
      </c>
      <c r="H58" s="9" t="n">
        <v>45849.12708333333</v>
      </c>
      <c r="I58" s="6" t="n">
        <v>5</v>
      </c>
      <c r="J58" s="7" t="inlineStr"/>
    </row>
    <row r="59">
      <c r="A59" s="10" t="inlineStr">
        <is>
          <t>D999-08</t>
        </is>
      </c>
      <c r="B59" s="10" t="inlineStr">
        <is>
          <t>Delta999</t>
        </is>
      </c>
      <c r="C59" s="10" t="inlineStr">
        <is>
          <t>D999 (Advanced)</t>
        </is>
      </c>
      <c r="D59" s="11" t="inlineStr">
        <is>
          <t>DB Lock Manager</t>
        </is>
      </c>
      <c r="E59" s="11" t="inlineStr">
        <is>
          <t>SQLite WAL lock management</t>
        </is>
      </c>
      <c r="F59" s="12" t="inlineStr">
        <is>
          <t>OPERATIONAL</t>
        </is>
      </c>
      <c r="G59" s="10" t="n">
        <v>98.90000000000001</v>
      </c>
      <c r="H59" s="13" t="n">
        <v>45840.3</v>
      </c>
      <c r="I59" s="10" t="n">
        <v>2</v>
      </c>
      <c r="J59" s="11" t="inlineStr"/>
    </row>
    <row r="60">
      <c r="A60" s="6" t="inlineStr">
        <is>
          <t>D999-09</t>
        </is>
      </c>
      <c r="B60" s="6" t="inlineStr">
        <is>
          <t>Delta999</t>
        </is>
      </c>
      <c r="C60" s="6" t="inlineStr">
        <is>
          <t>D999 (Advanced)</t>
        </is>
      </c>
      <c r="D60" s="7" t="inlineStr">
        <is>
          <t>Filing State Machine</t>
        </is>
      </c>
      <c r="E60" s="7" t="inlineStr">
        <is>
          <t>Filing workflow FSM</t>
        </is>
      </c>
      <c r="F60" s="8" t="inlineStr">
        <is>
          <t>OPERATIONAL</t>
        </is>
      </c>
      <c r="G60" s="6" t="n">
        <v>95.7</v>
      </c>
      <c r="H60" s="9" t="n">
        <v>45841.35347222222</v>
      </c>
      <c r="I60" s="6" t="n">
        <v>3</v>
      </c>
      <c r="J60" s="7" t="inlineStr"/>
    </row>
    <row r="61">
      <c r="A61" s="10" t="inlineStr">
        <is>
          <t>D999-10</t>
        </is>
      </c>
      <c r="B61" s="10" t="inlineStr">
        <is>
          <t>Delta999</t>
        </is>
      </c>
      <c r="C61" s="10" t="inlineStr">
        <is>
          <t>D999 (Advanced)</t>
        </is>
      </c>
      <c r="D61" s="11" t="inlineStr">
        <is>
          <t>Quality Gate</t>
        </is>
      </c>
      <c r="E61" s="11" t="inlineStr">
        <is>
          <t>Quality gate enforcement</t>
        </is>
      </c>
      <c r="F61" s="12" t="inlineStr">
        <is>
          <t>OPERATIONAL</t>
        </is>
      </c>
      <c r="G61" s="10" t="n">
        <v>97.2</v>
      </c>
      <c r="H61" s="13" t="n">
        <v>45852.7125</v>
      </c>
      <c r="I61" s="10" t="n">
        <v>0</v>
      </c>
      <c r="J61" s="11" t="inlineStr"/>
    </row>
    <row r="62">
      <c r="A62" s="6" t="inlineStr">
        <is>
          <t>D999-11</t>
        </is>
      </c>
      <c r="B62" s="6" t="inlineStr">
        <is>
          <t>Delta999</t>
        </is>
      </c>
      <c r="C62" s="6" t="inlineStr">
        <is>
          <t>D999 (Advanced)</t>
        </is>
      </c>
      <c r="D62" s="7" t="inlineStr">
        <is>
          <t>Evidence Gap Detector</t>
        </is>
      </c>
      <c r="E62" s="7" t="inlineStr">
        <is>
          <t>Evidence gap analysis</t>
        </is>
      </c>
      <c r="F62" s="19" t="inlineStr">
        <is>
          <t>DEGRADED</t>
        </is>
      </c>
      <c r="G62" s="6" t="n">
        <v>92.5</v>
      </c>
      <c r="H62" s="9" t="n">
        <v>45840.29861111111</v>
      </c>
      <c r="I62" s="6" t="n">
        <v>4</v>
      </c>
      <c r="J62" s="7" t="inlineStr"/>
    </row>
    <row r="63">
      <c r="A63" s="10" t="inlineStr">
        <is>
          <t>D999-12</t>
        </is>
      </c>
      <c r="B63" s="10" t="inlineStr">
        <is>
          <t>Delta999</t>
        </is>
      </c>
      <c r="C63" s="10" t="inlineStr">
        <is>
          <t>D999 (Advanced)</t>
        </is>
      </c>
      <c r="D63" s="11" t="inlineStr">
        <is>
          <t>Outcome Predictor</t>
        </is>
      </c>
      <c r="E63" s="11" t="inlineStr">
        <is>
          <t>Case outcome prediction</t>
        </is>
      </c>
      <c r="F63" s="12" t="inlineStr">
        <is>
          <t>OPERATIONAL</t>
        </is>
      </c>
      <c r="G63" s="10" t="n">
        <v>96</v>
      </c>
      <c r="H63" s="13" t="n">
        <v>45845.04861111111</v>
      </c>
      <c r="I63" s="10" t="n">
        <v>3</v>
      </c>
      <c r="J63" s="11" t="inlineStr"/>
    </row>
    <row r="64">
      <c r="A64" s="20" t="inlineStr">
        <is>
          <t xml:space="preserve">  ▸ Copilot Agents — 64 Agents (10 shown)</t>
        </is>
      </c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</row>
    <row r="65">
      <c r="A65" s="10" t="inlineStr">
        <is>
          <t>CP-01</t>
        </is>
      </c>
      <c r="B65" s="10" t="inlineStr">
        <is>
          <t>Copilot</t>
        </is>
      </c>
      <c r="C65" s="10" t="inlineStr">
        <is>
          <t>Copilot</t>
        </is>
      </c>
      <c r="D65" s="11" t="inlineStr">
        <is>
          <t>michigan-litigation-orchestrator</t>
        </is>
      </c>
      <c r="E65" s="11" t="inlineStr">
        <is>
          <t>Multi-step filing workflows</t>
        </is>
      </c>
      <c r="F65" s="12" t="inlineStr">
        <is>
          <t>OPERATIONAL</t>
        </is>
      </c>
      <c r="G65" s="10" t="n">
        <v>95</v>
      </c>
      <c r="H65" s="13" t="n">
        <v>45845.37430555555</v>
      </c>
      <c r="I65" s="10" t="n">
        <v>3</v>
      </c>
      <c r="J65" s="11" t="inlineStr"/>
    </row>
    <row r="66">
      <c r="A66" s="6" t="inlineStr">
        <is>
          <t>CP-02</t>
        </is>
      </c>
      <c r="B66" s="6" t="inlineStr">
        <is>
          <t>Copilot</t>
        </is>
      </c>
      <c r="C66" s="6" t="inlineStr">
        <is>
          <t>Copilot</t>
        </is>
      </c>
      <c r="D66" s="7" t="inlineStr">
        <is>
          <t>court-form-finder</t>
        </is>
      </c>
      <c r="E66" s="7" t="inlineStr">
        <is>
          <t>Michigan court form lookup</t>
        </is>
      </c>
      <c r="F66" s="8" t="inlineStr">
        <is>
          <t>OPERATIONAL</t>
        </is>
      </c>
      <c r="G66" s="6" t="n">
        <v>96.40000000000001</v>
      </c>
      <c r="H66" s="9" t="n">
        <v>45850.99305555555</v>
      </c>
      <c r="I66" s="6" t="n">
        <v>3</v>
      </c>
      <c r="J66" s="7" t="inlineStr"/>
    </row>
    <row r="67">
      <c r="A67" s="10" t="inlineStr">
        <is>
          <t>CP-03</t>
        </is>
      </c>
      <c r="B67" s="10" t="inlineStr">
        <is>
          <t>Copilot</t>
        </is>
      </c>
      <c r="C67" s="10" t="inlineStr">
        <is>
          <t>Copilot</t>
        </is>
      </c>
      <c r="D67" s="11" t="inlineStr">
        <is>
          <t>pre-filing-qa</t>
        </is>
      </c>
      <c r="E67" s="11" t="inlineStr">
        <is>
          <t>Pre-filing GO/NO-GO checks</t>
        </is>
      </c>
      <c r="F67" s="12" t="inlineStr">
        <is>
          <t>OPERATIONAL</t>
        </is>
      </c>
      <c r="G67" s="10" t="n">
        <v>95.8</v>
      </c>
      <c r="H67" s="13" t="n">
        <v>45843.25208333333</v>
      </c>
      <c r="I67" s="10" t="n">
        <v>3</v>
      </c>
      <c r="J67" s="11" t="inlineStr"/>
    </row>
    <row r="68">
      <c r="A68" s="6" t="inlineStr">
        <is>
          <t>CP-04</t>
        </is>
      </c>
      <c r="B68" s="6" t="inlineStr">
        <is>
          <t>Copilot</t>
        </is>
      </c>
      <c r="C68" s="6" t="inlineStr">
        <is>
          <t>Copilot</t>
        </is>
      </c>
      <c r="D68" s="7" t="inlineStr">
        <is>
          <t>filing-countdown</t>
        </is>
      </c>
      <c r="E68" s="7" t="inlineStr">
        <is>
          <t>Deadline urgency dashboard</t>
        </is>
      </c>
      <c r="F68" s="8" t="inlineStr">
        <is>
          <t>OPERATIONAL</t>
        </is>
      </c>
      <c r="G68" s="6" t="n">
        <v>98.7</v>
      </c>
      <c r="H68" s="9" t="n">
        <v>45839.06736111111</v>
      </c>
      <c r="I68" s="6" t="n">
        <v>0</v>
      </c>
      <c r="J68" s="7" t="inlineStr"/>
    </row>
    <row r="69">
      <c r="A69" s="10" t="inlineStr">
        <is>
          <t>CP-05</t>
        </is>
      </c>
      <c r="B69" s="10" t="inlineStr">
        <is>
          <t>Copilot</t>
        </is>
      </c>
      <c r="C69" s="10" t="inlineStr">
        <is>
          <t>Copilot</t>
        </is>
      </c>
      <c r="D69" s="11" t="inlineStr">
        <is>
          <t>exhibit-formatter</t>
        </is>
      </c>
      <c r="E69" s="11" t="inlineStr">
        <is>
          <t>Bates stamps + exhibit indexing</t>
        </is>
      </c>
      <c r="F69" s="12" t="inlineStr">
        <is>
          <t>OPERATIONAL</t>
        </is>
      </c>
      <c r="G69" s="10" t="n">
        <v>97.5</v>
      </c>
      <c r="H69" s="13" t="n">
        <v>45852.67361111111</v>
      </c>
      <c r="I69" s="10" t="n">
        <v>3</v>
      </c>
      <c r="J69" s="11" t="inlineStr"/>
    </row>
    <row r="70">
      <c r="A70" s="6" t="inlineStr">
        <is>
          <t>CP-06</t>
        </is>
      </c>
      <c r="B70" s="6" t="inlineStr">
        <is>
          <t>Copilot</t>
        </is>
      </c>
      <c r="C70" s="6" t="inlineStr">
        <is>
          <t>Copilot</t>
        </is>
      </c>
      <c r="D70" s="7" t="inlineStr">
        <is>
          <t>service-tracker</t>
        </is>
      </c>
      <c r="E70" s="7" t="inlineStr">
        <is>
          <t>Proof-of-service tracking</t>
        </is>
      </c>
      <c r="F70" s="8" t="inlineStr">
        <is>
          <t>OPERATIONAL</t>
        </is>
      </c>
      <c r="G70" s="6" t="n">
        <v>99.7</v>
      </c>
      <c r="H70" s="9" t="n">
        <v>45840.21111111111</v>
      </c>
      <c r="I70" s="6" t="n">
        <v>0</v>
      </c>
      <c r="J70" s="7" t="inlineStr"/>
    </row>
    <row r="71">
      <c r="A71" s="10" t="inlineStr">
        <is>
          <t>CP-07</t>
        </is>
      </c>
      <c r="B71" s="10" t="inlineStr">
        <is>
          <t>Copilot</t>
        </is>
      </c>
      <c r="C71" s="10" t="inlineStr">
        <is>
          <t>Copilot</t>
        </is>
      </c>
      <c r="D71" s="11" t="inlineStr">
        <is>
          <t>legal-research-deep</t>
        </is>
      </c>
      <c r="E71" s="11" t="inlineStr">
        <is>
          <t>Multi-source authority search</t>
        </is>
      </c>
      <c r="F71" s="12" t="inlineStr">
        <is>
          <t>OPERATIONAL</t>
        </is>
      </c>
      <c r="G71" s="10" t="n">
        <v>98.3</v>
      </c>
      <c r="H71" s="13" t="n">
        <v>45842.50486111111</v>
      </c>
      <c r="I71" s="10" t="n">
        <v>0</v>
      </c>
      <c r="J71" s="11" t="inlineStr"/>
    </row>
    <row r="72">
      <c r="A72" s="6" t="inlineStr">
        <is>
          <t>CP-08</t>
        </is>
      </c>
      <c r="B72" s="6" t="inlineStr">
        <is>
          <t>Copilot</t>
        </is>
      </c>
      <c r="C72" s="6" t="inlineStr">
        <is>
          <t>Copilot</t>
        </is>
      </c>
      <c r="D72" s="7" t="inlineStr">
        <is>
          <t>transcript-analyzer</t>
        </is>
      </c>
      <c r="E72" s="7" t="inlineStr">
        <is>
          <t>Hearing transcript extraction</t>
        </is>
      </c>
      <c r="F72" s="8" t="inlineStr">
        <is>
          <t>OPERATIONAL</t>
        </is>
      </c>
      <c r="G72" s="6" t="n">
        <v>97.8</v>
      </c>
      <c r="H72" s="9" t="n">
        <v>45839.79513888889</v>
      </c>
      <c r="I72" s="6" t="n">
        <v>1</v>
      </c>
      <c r="J72" s="7" t="inlineStr"/>
    </row>
    <row r="73">
      <c r="A73" s="10" t="inlineStr">
        <is>
          <t>CP-09</t>
        </is>
      </c>
      <c r="B73" s="10" t="inlineStr">
        <is>
          <t>Copilot</t>
        </is>
      </c>
      <c r="C73" s="10" t="inlineStr">
        <is>
          <t>Copilot</t>
        </is>
      </c>
      <c r="D73" s="11" t="inlineStr">
        <is>
          <t>order-compliance-monitor</t>
        </is>
      </c>
      <c r="E73" s="11" t="inlineStr">
        <is>
          <t>Court order compliance</t>
        </is>
      </c>
      <c r="F73" s="12" t="inlineStr">
        <is>
          <t>OPERATIONAL</t>
        </is>
      </c>
      <c r="G73" s="10" t="n">
        <v>98.2</v>
      </c>
      <c r="H73" s="13" t="n">
        <v>45848.68055555555</v>
      </c>
      <c r="I73" s="10" t="n">
        <v>3</v>
      </c>
      <c r="J73" s="11" t="inlineStr"/>
    </row>
    <row r="74">
      <c r="A74" s="6" t="inlineStr">
        <is>
          <t>CP-10</t>
        </is>
      </c>
      <c r="B74" s="6" t="inlineStr">
        <is>
          <t>Copilot</t>
        </is>
      </c>
      <c r="C74" s="6" t="inlineStr">
        <is>
          <t>Copilot</t>
        </is>
      </c>
      <c r="D74" s="7" t="inlineStr">
        <is>
          <t>cost-tracker</t>
        </is>
      </c>
      <c r="E74" s="7" t="inlineStr">
        <is>
          <t>Litigation cost tracking</t>
        </is>
      </c>
      <c r="F74" s="8" t="inlineStr">
        <is>
          <t>OPERATIONAL</t>
        </is>
      </c>
      <c r="G74" s="6" t="n">
        <v>96</v>
      </c>
      <c r="H74" s="9" t="n">
        <v>45850.42708333334</v>
      </c>
      <c r="I74" s="6" t="n">
        <v>2</v>
      </c>
      <c r="J74" s="7" t="inlineStr"/>
    </row>
    <row r="75">
      <c r="A75" s="22" t="inlineStr">
        <is>
          <t xml:space="preserve">  ▸ Superpower Agents — 13 Agents (5 shown)</t>
        </is>
      </c>
      <c r="B75" s="23" t="n"/>
      <c r="C75" s="23" t="n"/>
      <c r="D75" s="23" t="n"/>
      <c r="E75" s="23" t="n"/>
      <c r="F75" s="23" t="n"/>
      <c r="G75" s="23" t="n"/>
      <c r="H75" s="23" t="n"/>
      <c r="I75" s="23" t="n"/>
      <c r="J75" s="23" t="n"/>
    </row>
    <row r="76">
      <c r="A76" s="6" t="inlineStr">
        <is>
          <t>SP-01</t>
        </is>
      </c>
      <c r="B76" s="6" t="inlineStr">
        <is>
          <t>Superpower</t>
        </is>
      </c>
      <c r="C76" s="6" t="inlineStr">
        <is>
          <t>Superpower</t>
        </is>
      </c>
      <c r="D76" s="7" t="inlineStr">
        <is>
          <t>Orchestrator</t>
        </is>
      </c>
      <c r="E76" s="7" t="inlineStr">
        <is>
          <t>Cross-cutting fleet orchestration</t>
        </is>
      </c>
      <c r="F76" s="8" t="inlineStr">
        <is>
          <t>OPERATIONAL</t>
        </is>
      </c>
      <c r="G76" s="6" t="n">
        <v>96.90000000000001</v>
      </c>
      <c r="H76" s="9" t="n">
        <v>45849.84652777778</v>
      </c>
      <c r="I76" s="6" t="n">
        <v>1</v>
      </c>
      <c r="J76" s="7" t="inlineStr"/>
    </row>
    <row r="77">
      <c r="A77" s="10" t="inlineStr">
        <is>
          <t>SP-02</t>
        </is>
      </c>
      <c r="B77" s="10" t="inlineStr">
        <is>
          <t>Superpower</t>
        </is>
      </c>
      <c r="C77" s="10" t="inlineStr">
        <is>
          <t>Superpower</t>
        </is>
      </c>
      <c r="D77" s="11" t="inlineStr">
        <is>
          <t>Governor</t>
        </is>
      </c>
      <c r="E77" s="11" t="inlineStr">
        <is>
          <t>Resource governance + throttling</t>
        </is>
      </c>
      <c r="F77" s="12" t="inlineStr">
        <is>
          <t>OPERATIONAL</t>
        </is>
      </c>
      <c r="G77" s="10" t="n">
        <v>96.5</v>
      </c>
      <c r="H77" s="13" t="n">
        <v>45851.08333333334</v>
      </c>
      <c r="I77" s="10" t="n">
        <v>1</v>
      </c>
      <c r="J77" s="11" t="inlineStr"/>
    </row>
    <row r="78">
      <c r="A78" s="6" t="inlineStr">
        <is>
          <t>SP-03</t>
        </is>
      </c>
      <c r="B78" s="6" t="inlineStr">
        <is>
          <t>Superpower</t>
        </is>
      </c>
      <c r="C78" s="6" t="inlineStr">
        <is>
          <t>Superpower</t>
        </is>
      </c>
      <c r="D78" s="7" t="inlineStr">
        <is>
          <t>Self-Evolver</t>
        </is>
      </c>
      <c r="E78" s="7" t="inlineStr">
        <is>
          <t>Self-evolution cycle management</t>
        </is>
      </c>
      <c r="F78" s="8" t="inlineStr">
        <is>
          <t>OPERATIONAL</t>
        </is>
      </c>
      <c r="G78" s="6" t="n">
        <v>98</v>
      </c>
      <c r="H78" s="9" t="n">
        <v>45848.12777777778</v>
      </c>
      <c r="I78" s="6" t="n">
        <v>1</v>
      </c>
      <c r="J78" s="7" t="inlineStr"/>
    </row>
    <row r="79">
      <c r="A79" s="10" t="inlineStr">
        <is>
          <t>SP-04</t>
        </is>
      </c>
      <c r="B79" s="10" t="inlineStr">
        <is>
          <t>Superpower</t>
        </is>
      </c>
      <c r="C79" s="10" t="inlineStr">
        <is>
          <t>Superpower</t>
        </is>
      </c>
      <c r="D79" s="11" t="inlineStr">
        <is>
          <t>Health Monitor</t>
        </is>
      </c>
      <c r="E79" s="11" t="inlineStr">
        <is>
          <t>System-wide health monitoring</t>
        </is>
      </c>
      <c r="F79" s="12" t="inlineStr">
        <is>
          <t>OPERATIONAL</t>
        </is>
      </c>
      <c r="G79" s="10" t="n">
        <v>96</v>
      </c>
      <c r="H79" s="13" t="n">
        <v>45843.20763888889</v>
      </c>
      <c r="I79" s="10" t="n">
        <v>2</v>
      </c>
      <c r="J79" s="11" t="inlineStr"/>
    </row>
    <row r="80">
      <c r="A80" s="6" t="inlineStr">
        <is>
          <t>SP-05</t>
        </is>
      </c>
      <c r="B80" s="6" t="inlineStr">
        <is>
          <t>Superpower</t>
        </is>
      </c>
      <c r="C80" s="6" t="inlineStr">
        <is>
          <t>Superpower</t>
        </is>
      </c>
      <c r="D80" s="7" t="inlineStr">
        <is>
          <t>Pattern Miner</t>
        </is>
      </c>
      <c r="E80" s="7" t="inlineStr">
        <is>
          <t>Cross-agent pattern discovery</t>
        </is>
      </c>
      <c r="F80" s="8" t="inlineStr">
        <is>
          <t>OPERATIONAL</t>
        </is>
      </c>
      <c r="G80" s="6" t="n">
        <v>99.3</v>
      </c>
      <c r="H80" s="9" t="n">
        <v>45842.47083333333</v>
      </c>
      <c r="I80" s="6" t="n">
        <v>1</v>
      </c>
      <c r="J80" s="7" t="inlineStr"/>
    </row>
  </sheetData>
  <autoFilter ref="A4:J4"/>
  <mergeCells count="7">
    <mergeCell ref="A44:J44"/>
    <mergeCell ref="A1:J1"/>
    <mergeCell ref="A5:J5"/>
    <mergeCell ref="A75:J75"/>
    <mergeCell ref="A2:J2"/>
    <mergeCell ref="A64:J64"/>
    <mergeCell ref="A51:J51"/>
  </mergeCells>
  <conditionalFormatting sqref="G5:G80">
    <cfRule type="cellIs" priority="1" operator="greaterThan" dxfId="0">
      <formula>95</formula>
    </cfRule>
    <cfRule type="cellIs" priority="2" operator="between" dxfId="1">
      <formula>80</formula>
      <formula>95</formula>
    </cfRule>
    <cfRule type="cellIs" priority="3" operator="lessThan" dxfId="2">
      <formula>80</formula>
    </cfRule>
  </conditionalFormatting>
  <dataValidations count="1">
    <dataValidation sqref="F5:F80" showDropDown="0" showInputMessage="0" showErrorMessage="0" allowBlank="1" prompt="Select agent status" type="list">
      <formula1>"OPERATIONAL,DEGRADED,OFFLINE,UNTESTED"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803D"/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Fleet Summary — Aggregate Metrics</t>
        </is>
      </c>
    </row>
    <row r="2">
      <c r="A2" s="2" t="inlineStr">
        <is>
          <t>All formulas reference Agent Registry sheet</t>
        </is>
      </c>
    </row>
    <row r="4">
      <c r="A4" s="3" t="inlineStr">
        <is>
          <t>Fleet</t>
        </is>
      </c>
      <c r="B4" s="3" t="inlineStr">
        <is>
          <t>Total Agents</t>
        </is>
      </c>
      <c r="C4" s="3" t="inlineStr">
        <is>
          <t>Operational</t>
        </is>
      </c>
      <c r="D4" s="3" t="inlineStr">
        <is>
          <t>Degraded</t>
        </is>
      </c>
      <c r="E4" s="3" t="inlineStr">
        <is>
          <t>Offline</t>
        </is>
      </c>
      <c r="F4" s="3" t="inlineStr">
        <is>
          <t>Avg Success Rate %</t>
        </is>
      </c>
      <c r="G4" s="3" t="inlineStr">
        <is>
          <t>Total Runs</t>
        </is>
      </c>
      <c r="H4" s="3" t="inlineStr">
        <is>
          <t>Total Errors</t>
        </is>
      </c>
    </row>
    <row r="5">
      <c r="A5" s="11" t="inlineStr">
        <is>
          <t>Delta9</t>
        </is>
      </c>
      <c r="B5" s="12">
        <f>COUNTIF('Agent Registry'!$B$5:$B$80,A5)</f>
        <v/>
      </c>
      <c r="C5" s="12">
        <f>COUNTIFS('Agent Registry'!$B$5:$B$80,A5,'Agent Registry'!$F$5:$F$80,"OPERATIONAL")</f>
        <v/>
      </c>
      <c r="D5" s="12">
        <f>COUNTIFS('Agent Registry'!$B$5:$B$80,A5,'Agent Registry'!$F$5:$F$80,"DEGRADED")</f>
        <v/>
      </c>
      <c r="E5" s="12">
        <f>COUNTIFS('Agent Registry'!$B$5:$B$80,A5,'Agent Registry'!$F$5:$F$80,"OFFLINE")</f>
        <v/>
      </c>
      <c r="F5" s="24">
        <f>IFERROR(AVERAGEIF('Agent Registry'!$B$5:$B$80,A5,'Agent Registry'!$G$5:$G$80),0)</f>
        <v/>
      </c>
      <c r="G5" s="10" t="n">
        <v>5040</v>
      </c>
      <c r="H5" s="12">
        <f>SUMIF('Agent Registry'!$B$5:$B$80,A5,'Agent Registry'!$I$5:$I$80)</f>
        <v/>
      </c>
    </row>
    <row r="6">
      <c r="A6" s="7" t="inlineStr">
        <is>
          <t>Convergence</t>
        </is>
      </c>
      <c r="B6" s="8">
        <f>COUNTIF('Agent Registry'!$B$5:$B$80,A6)</f>
        <v/>
      </c>
      <c r="C6" s="8">
        <f>COUNTIFS('Agent Registry'!$B$5:$B$80,A6,'Agent Registry'!$F$5:$F$80,"OPERATIONAL")</f>
        <v/>
      </c>
      <c r="D6" s="8">
        <f>COUNTIFS('Agent Registry'!$B$5:$B$80,A6,'Agent Registry'!$F$5:$F$80,"DEGRADED")</f>
        <v/>
      </c>
      <c r="E6" s="8">
        <f>COUNTIFS('Agent Registry'!$B$5:$B$80,A6,'Agent Registry'!$F$5:$F$80,"OFFLINE")</f>
        <v/>
      </c>
      <c r="F6" s="25">
        <f>IFERROR(AVERAGEIF('Agent Registry'!$B$5:$B$80,A6,'Agent Registry'!$G$5:$G$80),0)</f>
        <v/>
      </c>
      <c r="G6" s="6" t="n">
        <v>972</v>
      </c>
      <c r="H6" s="8">
        <f>SUMIF('Agent Registry'!$B$5:$B$80,A6,'Agent Registry'!$I$5:$I$80)</f>
        <v/>
      </c>
    </row>
    <row r="7">
      <c r="A7" s="11" t="inlineStr">
        <is>
          <t>Delta999</t>
        </is>
      </c>
      <c r="B7" s="12">
        <f>COUNTIF('Agent Registry'!$B$5:$B$80,A7)</f>
        <v/>
      </c>
      <c r="C7" s="12">
        <f>COUNTIFS('Agent Registry'!$B$5:$B$80,A7,'Agent Registry'!$F$5:$F$80,"OPERATIONAL")</f>
        <v/>
      </c>
      <c r="D7" s="12">
        <f>COUNTIFS('Agent Registry'!$B$5:$B$80,A7,'Agent Registry'!$F$5:$F$80,"DEGRADED")</f>
        <v/>
      </c>
      <c r="E7" s="12">
        <f>COUNTIFS('Agent Registry'!$B$5:$B$80,A7,'Agent Registry'!$F$5:$F$80,"OFFLINE")</f>
        <v/>
      </c>
      <c r="F7" s="24">
        <f>IFERROR(AVERAGEIF('Agent Registry'!$B$5:$B$80,A7,'Agent Registry'!$G$5:$G$80),0)</f>
        <v/>
      </c>
      <c r="G7" s="10" t="n">
        <v>2268</v>
      </c>
      <c r="H7" s="12">
        <f>SUMIF('Agent Registry'!$B$5:$B$80,A7,'Agent Registry'!$I$5:$I$80)</f>
        <v/>
      </c>
    </row>
    <row r="8">
      <c r="A8" s="7" t="inlineStr">
        <is>
          <t>Copilot</t>
        </is>
      </c>
      <c r="B8" s="8">
        <f>COUNTIF('Agent Registry'!$B$5:$B$80,A8)</f>
        <v/>
      </c>
      <c r="C8" s="8">
        <f>COUNTIFS('Agent Registry'!$B$5:$B$80,A8,'Agent Registry'!$F$5:$F$80,"OPERATIONAL")</f>
        <v/>
      </c>
      <c r="D8" s="8">
        <f>COUNTIFS('Agent Registry'!$B$5:$B$80,A8,'Agent Registry'!$F$5:$F$80,"DEGRADED")</f>
        <v/>
      </c>
      <c r="E8" s="8">
        <f>COUNTIFS('Agent Registry'!$B$5:$B$80,A8,'Agent Registry'!$F$5:$F$80,"OFFLINE")</f>
        <v/>
      </c>
      <c r="F8" s="25">
        <f>IFERROR(AVERAGEIF('Agent Registry'!$B$5:$B$80,A8,'Agent Registry'!$G$5:$G$80),0)</f>
        <v/>
      </c>
      <c r="G8" s="6" t="n">
        <v>8128</v>
      </c>
      <c r="H8" s="8">
        <f>SUMIF('Agent Registry'!$B$5:$B$80,A8,'Agent Registry'!$I$5:$I$80)</f>
        <v/>
      </c>
    </row>
    <row r="9">
      <c r="A9" s="11" t="inlineStr">
        <is>
          <t>Superpower</t>
        </is>
      </c>
      <c r="B9" s="12">
        <f>COUNTIF('Agent Registry'!$B$5:$B$80,A9)</f>
        <v/>
      </c>
      <c r="C9" s="12">
        <f>COUNTIFS('Agent Registry'!$B$5:$B$80,A9,'Agent Registry'!$F$5:$F$80,"OPERATIONAL")</f>
        <v/>
      </c>
      <c r="D9" s="12">
        <f>COUNTIFS('Agent Registry'!$B$5:$B$80,A9,'Agent Registry'!$F$5:$F$80,"DEGRADED")</f>
        <v/>
      </c>
      <c r="E9" s="12">
        <f>COUNTIFS('Agent Registry'!$B$5:$B$80,A9,'Agent Registry'!$F$5:$F$80,"OFFLINE")</f>
        <v/>
      </c>
      <c r="F9" s="24">
        <f>IFERROR(AVERAGEIF('Agent Registry'!$B$5:$B$80,A9,'Agent Registry'!$G$5:$G$80),0)</f>
        <v/>
      </c>
      <c r="G9" s="10" t="n">
        <v>2405</v>
      </c>
      <c r="H9" s="12">
        <f>SUMIF('Agent Registry'!$B$5:$B$80,A9,'Agent Registry'!$I$5:$I$80)</f>
        <v/>
      </c>
    </row>
    <row r="10">
      <c r="A10" s="26" t="inlineStr">
        <is>
          <t>TOTAL</t>
        </is>
      </c>
      <c r="B10" s="27">
        <f>SUM(B5:B9)</f>
        <v/>
      </c>
      <c r="C10" s="27">
        <f>SUM(C5:C9)</f>
        <v/>
      </c>
      <c r="D10" s="27">
        <f>SUM(D5:D9)</f>
        <v/>
      </c>
      <c r="E10" s="27">
        <f>SUM(E5:E9)</f>
        <v/>
      </c>
      <c r="F10" s="28">
        <f>IFERROR(AVERAGE(F5:F9),0)</f>
        <v/>
      </c>
      <c r="G10" s="27">
        <f>SUM(G5:G9)</f>
        <v/>
      </c>
      <c r="H10" s="27">
        <f>SUM(H5:H9)</f>
        <v/>
      </c>
    </row>
    <row r="11"/>
    <row r="12">
      <c r="A12" s="29" t="n"/>
      <c r="B12" s="29" t="n"/>
      <c r="C12" s="29" t="n"/>
      <c r="D12" s="29" t="n"/>
      <c r="E12" s="29" t="n"/>
      <c r="F12" s="29" t="n"/>
      <c r="G12" s="29" t="n"/>
      <c r="H12" s="29" t="n"/>
    </row>
    <row r="13">
      <c r="A13" s="30" t="inlineStr">
        <is>
          <t>Status Distribution (Chart Data)</t>
        </is>
      </c>
    </row>
    <row r="14">
      <c r="A14" s="31" t="inlineStr">
        <is>
          <t>Status</t>
        </is>
      </c>
      <c r="B14" s="31" t="inlineStr">
        <is>
          <t>Count</t>
        </is>
      </c>
      <c r="C14" s="31" t="inlineStr">
        <is>
          <t>Percentage</t>
        </is>
      </c>
      <c r="D14" s="31" t="inlineStr"/>
      <c r="E14" s="29" t="n"/>
      <c r="F14" s="29" t="n"/>
      <c r="G14" s="29" t="n"/>
      <c r="H14" s="29" t="n"/>
    </row>
    <row r="15">
      <c r="A15" s="11" t="inlineStr">
        <is>
          <t>OPERATIONAL</t>
        </is>
      </c>
      <c r="B15" s="12">
        <f>COUNTIF('Agent Registry'!$F$5:$F$80,A15)</f>
        <v/>
      </c>
      <c r="C15" s="32">
        <f>IFERROR(B15/SUM($B$15:$B$18)*100,0)</f>
        <v/>
      </c>
    </row>
    <row r="16">
      <c r="A16" s="7" t="inlineStr">
        <is>
          <t>DEGRADED</t>
        </is>
      </c>
      <c r="B16" s="8">
        <f>COUNTIF('Agent Registry'!$F$5:$F$80,A16)</f>
        <v/>
      </c>
      <c r="C16" s="33">
        <f>IFERROR(B16/SUM($B$15:$B$18)*100,0)</f>
        <v/>
      </c>
      <c r="D16" s="29" t="n"/>
      <c r="E16" s="29" t="n"/>
      <c r="F16" s="29" t="n"/>
      <c r="G16" s="29" t="n"/>
      <c r="H16" s="29" t="n"/>
    </row>
    <row r="17">
      <c r="A17" s="11" t="inlineStr">
        <is>
          <t>OFFLINE</t>
        </is>
      </c>
      <c r="B17" s="12">
        <f>COUNTIF('Agent Registry'!$F$5:$F$80,A17)</f>
        <v/>
      </c>
      <c r="C17" s="32">
        <f>IFERROR(B17/SUM($B$15:$B$18)*100,0)</f>
        <v/>
      </c>
    </row>
    <row r="18">
      <c r="A18" s="7" t="inlineStr">
        <is>
          <t>UNTESTED</t>
        </is>
      </c>
      <c r="B18" s="8">
        <f>COUNTIF('Agent Registry'!$F$5:$F$80,A18)</f>
        <v/>
      </c>
      <c r="C18" s="33">
        <f>IFERROR(B18/SUM($B$15:$B$18)*100,0)</f>
        <v/>
      </c>
      <c r="D18" s="29" t="n"/>
      <c r="E18" s="29" t="n"/>
      <c r="F18" s="29" t="n"/>
      <c r="G18" s="29" t="n"/>
      <c r="H18" s="29" t="n"/>
    </row>
  </sheetData>
  <mergeCells count="3">
    <mergeCell ref="A2:H2"/>
    <mergeCell ref="A13:D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6" customWidth="1" min="4" max="4"/>
    <col width="14" customWidth="1" min="5" max="5"/>
    <col width="20" customWidth="1" min="6" max="6"/>
    <col width="14" customWidth="1" min="7" max="7"/>
    <col width="10" customWidth="1" min="8" max="8"/>
  </cols>
  <sheetData>
    <row r="1">
      <c r="A1" s="1" t="inlineStr">
        <is>
          <t>Tier Performance Analysis</t>
        </is>
      </c>
    </row>
    <row r="2">
      <c r="A2" s="2" t="inlineStr">
        <is>
          <t>Health Score = Success*0.4 + (100-ErrorRate)*0.3 + MIN(Throughput/100,100)*0.3</t>
        </is>
      </c>
    </row>
    <row r="4">
      <c r="A4" s="3" t="inlineStr">
        <is>
          <t>Tier</t>
        </is>
      </c>
      <c r="B4" s="3" t="inlineStr">
        <is>
          <t>Agents</t>
        </is>
      </c>
      <c r="C4" s="3" t="inlineStr">
        <is>
          <t>Avg Success %</t>
        </is>
      </c>
      <c r="D4" s="3" t="inlineStr">
        <is>
          <t>Avg Runtime (s)</t>
        </is>
      </c>
      <c r="E4" s="3" t="inlineStr">
        <is>
          <t>Error Rate %</t>
        </is>
      </c>
      <c r="F4" s="3" t="inlineStr">
        <is>
          <t>Throughput (items/hr)</t>
        </is>
      </c>
      <c r="G4" s="3" t="inlineStr">
        <is>
          <t>Health Score</t>
        </is>
      </c>
      <c r="H4" s="3" t="inlineStr">
        <is>
          <t>Grade</t>
        </is>
      </c>
    </row>
    <row r="5">
      <c r="A5" s="11" t="inlineStr">
        <is>
          <t>1 (I/O)</t>
        </is>
      </c>
      <c r="B5" s="12">
        <f>COUNTIF('Agent Registry'!$C$5:$C$80,A5)</f>
        <v/>
      </c>
      <c r="C5" s="24">
        <f>IFERROR(AVERAGEIF('Agent Registry'!$C$5:$C$80,A5,'Agent Registry'!$G$5:$G$80),0)</f>
        <v/>
      </c>
      <c r="D5" s="34" t="n">
        <v>15.2</v>
      </c>
      <c r="E5" s="24">
        <f>IFERROR(SUMIF('Agent Registry'!$C$5:$C$80,A5,'Agent Registry'!$I$5:$I$80)/(B5*100)*100,0)</f>
        <v/>
      </c>
      <c r="F5" s="10" t="n">
        <v>1250</v>
      </c>
      <c r="G5" s="35">
        <f>C5*0.4+(100-E5)*0.3+MIN(F5/100,100)*0.3</f>
        <v/>
      </c>
      <c r="H5" s="36">
        <f>IF(G5&gt;=95,"A+",IF(G5&gt;=90,"A",IF(G5&gt;=85,"B+",IF(G5&gt;=80,"B",IF(G5&gt;=70,"C","D")))))</f>
        <v/>
      </c>
    </row>
    <row r="6">
      <c r="A6" s="7" t="inlineStr">
        <is>
          <t>2 (Processing)</t>
        </is>
      </c>
      <c r="B6" s="8">
        <f>COUNTIF('Agent Registry'!$C$5:$C$80,A6)</f>
        <v/>
      </c>
      <c r="C6" s="25">
        <f>IFERROR(AVERAGEIF('Agent Registry'!$C$5:$C$80,A6,'Agent Registry'!$G$5:$G$80),0)</f>
        <v/>
      </c>
      <c r="D6" s="37" t="n">
        <v>22.7</v>
      </c>
      <c r="E6" s="25">
        <f>IFERROR(SUMIF('Agent Registry'!$C$5:$C$80,A6,'Agent Registry'!$I$5:$I$80)/(B6*100)*100,0)</f>
        <v/>
      </c>
      <c r="F6" s="6" t="n">
        <v>800</v>
      </c>
      <c r="G6" s="28">
        <f>C6*0.4+(100-E6)*0.3+MIN(F6/100,100)*0.3</f>
        <v/>
      </c>
      <c r="H6" s="27">
        <f>IF(G6&gt;=95,"A+",IF(G6&gt;=90,"A",IF(G6&gt;=85,"B+",IF(G6&gt;=80,"B",IF(G6&gt;=70,"C","D")))))</f>
        <v/>
      </c>
    </row>
    <row r="7">
      <c r="A7" s="11" t="inlineStr">
        <is>
          <t>3 (Assembly)</t>
        </is>
      </c>
      <c r="B7" s="12">
        <f>COUNTIF('Agent Registry'!$C$5:$C$80,A7)</f>
        <v/>
      </c>
      <c r="C7" s="24">
        <f>IFERROR(AVERAGEIF('Agent Registry'!$C$5:$C$80,A7,'Agent Registry'!$G$5:$G$80),0)</f>
        <v/>
      </c>
      <c r="D7" s="34" t="n">
        <v>45.3</v>
      </c>
      <c r="E7" s="24">
        <f>IFERROR(SUMIF('Agent Registry'!$C$5:$C$80,A7,'Agent Registry'!$I$5:$I$80)/(B7*100)*100,0)</f>
        <v/>
      </c>
      <c r="F7" s="10" t="n">
        <v>350</v>
      </c>
      <c r="G7" s="35">
        <f>C7*0.4+(100-E7)*0.3+MIN(F7/100,100)*0.3</f>
        <v/>
      </c>
      <c r="H7" s="36">
        <f>IF(G7&gt;=95,"A+",IF(G7&gt;=90,"A",IF(G7&gt;=85,"B+",IF(G7&gt;=80,"B",IF(G7&gt;=70,"C","D")))))</f>
        <v/>
      </c>
    </row>
    <row r="8">
      <c r="A8" s="7" t="inlineStr">
        <is>
          <t>J (Judicial)</t>
        </is>
      </c>
      <c r="B8" s="8">
        <f>COUNTIF('Agent Registry'!$C$5:$C$80,A8)</f>
        <v/>
      </c>
      <c r="C8" s="25">
        <f>IFERROR(AVERAGEIF('Agent Registry'!$C$5:$C$80,A8,'Agent Registry'!$G$5:$G$80),0)</f>
        <v/>
      </c>
      <c r="D8" s="37" t="n">
        <v>38.1</v>
      </c>
      <c r="E8" s="25">
        <f>IFERROR(SUMIF('Agent Registry'!$C$5:$C$80,A8,'Agent Registry'!$I$5:$I$80)/(B8*100)*100,0)</f>
        <v/>
      </c>
      <c r="F8" s="6" t="n">
        <v>420</v>
      </c>
      <c r="G8" s="28">
        <f>C8*0.4+(100-E8)*0.3+MIN(F8/100,100)*0.3</f>
        <v/>
      </c>
      <c r="H8" s="27">
        <f>IF(G8&gt;=95,"A+",IF(G8&gt;=90,"A",IF(G8&gt;=85,"B+",IF(G8&gt;=80,"B",IF(G8&gt;=70,"C","D")))))</f>
        <v/>
      </c>
    </row>
    <row r="9">
      <c r="A9" s="11" t="inlineStr">
        <is>
          <t>K (Intel)</t>
        </is>
      </c>
      <c r="B9" s="12">
        <f>COUNTIF('Agent Registry'!$C$5:$C$80,A9)</f>
        <v/>
      </c>
      <c r="C9" s="24">
        <f>IFERROR(AVERAGEIF('Agent Registry'!$C$5:$C$80,A9,'Agent Registry'!$G$5:$G$80),0)</f>
        <v/>
      </c>
      <c r="D9" s="34" t="n">
        <v>31.5</v>
      </c>
      <c r="E9" s="24">
        <f>IFERROR(SUMIF('Agent Registry'!$C$5:$C$80,A9,'Agent Registry'!$I$5:$I$80)/(B9*100)*100,0)</f>
        <v/>
      </c>
      <c r="F9" s="10" t="n">
        <v>550</v>
      </c>
      <c r="G9" s="35">
        <f>C9*0.4+(100-E9)*0.3+MIN(F9/100,100)*0.3</f>
        <v/>
      </c>
      <c r="H9" s="36">
        <f>IF(G9&gt;=95,"A+",IF(G9&gt;=90,"A",IF(G9&gt;=85,"B+",IF(G9&gt;=80,"B",IF(G9&gt;=70,"C","D")))))</f>
        <v/>
      </c>
    </row>
    <row r="10">
      <c r="A10" s="7" t="inlineStr">
        <is>
          <t>L (Legal)</t>
        </is>
      </c>
      <c r="B10" s="8">
        <f>COUNTIF('Agent Registry'!$C$5:$C$80,A10)</f>
        <v/>
      </c>
      <c r="C10" s="25">
        <f>IFERROR(AVERAGEIF('Agent Registry'!$C$5:$C$80,A10,'Agent Registry'!$G$5:$G$80),0)</f>
        <v/>
      </c>
      <c r="D10" s="37" t="n">
        <v>28.9</v>
      </c>
      <c r="E10" s="25">
        <f>IFERROR(SUMIF('Agent Registry'!$C$5:$C$80,A10,'Agent Registry'!$I$5:$I$80)/(B10*100)*100,0)</f>
        <v/>
      </c>
      <c r="F10" s="6" t="n">
        <v>630</v>
      </c>
      <c r="G10" s="28">
        <f>C10*0.4+(100-E10)*0.3+MIN(F10/100,100)*0.3</f>
        <v/>
      </c>
      <c r="H10" s="27">
        <f>IF(G10&gt;=95,"A+",IF(G10&gt;=90,"A",IF(G10&gt;=85,"B+",IF(G10&gt;=80,"B",IF(G10&gt;=70,"C","D")))))</f>
        <v/>
      </c>
    </row>
    <row r="11">
      <c r="A11" s="11" t="inlineStr">
        <is>
          <t>F (Convergence)</t>
        </is>
      </c>
      <c r="B11" s="12">
        <f>COUNTIF('Agent Registry'!$C$5:$C$80,A11)</f>
        <v/>
      </c>
      <c r="C11" s="24">
        <f>IFERROR(AVERAGEIF('Agent Registry'!$C$5:$C$80,A11,'Agent Registry'!$G$5:$G$80),0)</f>
        <v/>
      </c>
      <c r="D11" s="34" t="n">
        <v>52</v>
      </c>
      <c r="E11" s="24">
        <f>IFERROR(SUMIF('Agent Registry'!$C$5:$C$80,A11,'Agent Registry'!$I$5:$I$80)/(B11*100)*100,0)</f>
        <v/>
      </c>
      <c r="F11" s="10" t="n">
        <v>280</v>
      </c>
      <c r="G11" s="35">
        <f>C11*0.4+(100-E11)*0.3+MIN(F11/100,100)*0.3</f>
        <v/>
      </c>
      <c r="H11" s="36">
        <f>IF(G11&gt;=95,"A+",IF(G11&gt;=90,"A",IF(G11&gt;=85,"B+",IF(G11&gt;=80,"B",IF(G11&gt;=70,"C","D")))))</f>
        <v/>
      </c>
    </row>
    <row r="12">
      <c r="A12" s="7" t="inlineStr">
        <is>
          <t>D999 (Advanced)</t>
        </is>
      </c>
      <c r="B12" s="8">
        <f>COUNTIF('Agent Registry'!$C$5:$C$80,A12)</f>
        <v/>
      </c>
      <c r="C12" s="25">
        <f>IFERROR(AVERAGEIF('Agent Registry'!$C$5:$C$80,A12,'Agent Registry'!$G$5:$G$80),0)</f>
        <v/>
      </c>
      <c r="D12" s="37" t="n">
        <v>19.8</v>
      </c>
      <c r="E12" s="25">
        <f>IFERROR(SUMIF('Agent Registry'!$C$5:$C$80,A12,'Agent Registry'!$I$5:$I$80)/(B12*100)*100,0)</f>
        <v/>
      </c>
      <c r="F12" s="6" t="n">
        <v>900</v>
      </c>
      <c r="G12" s="28">
        <f>C12*0.4+(100-E12)*0.3+MIN(F12/100,100)*0.3</f>
        <v/>
      </c>
      <c r="H12" s="27">
        <f>IF(G12&gt;=95,"A+",IF(G12&gt;=90,"A",IF(G12&gt;=85,"B+",IF(G12&gt;=80,"B",IF(G12&gt;=70,"C","D")))))</f>
        <v/>
      </c>
    </row>
    <row r="13">
      <c r="A13" s="11" t="inlineStr">
        <is>
          <t>Copilot</t>
        </is>
      </c>
      <c r="B13" s="12">
        <f>COUNTIF('Agent Registry'!$C$5:$C$80,A13)</f>
        <v/>
      </c>
      <c r="C13" s="24">
        <f>IFERROR(AVERAGEIF('Agent Registry'!$C$5:$C$80,A13,'Agent Registry'!$G$5:$G$80),0)</f>
        <v/>
      </c>
      <c r="D13" s="34" t="n">
        <v>8.5</v>
      </c>
      <c r="E13" s="24">
        <f>IFERROR(SUMIF('Agent Registry'!$C$5:$C$80,A13,'Agent Registry'!$I$5:$I$80)/(B13*100)*100,0)</f>
        <v/>
      </c>
      <c r="F13" s="10" t="n">
        <v>1500</v>
      </c>
      <c r="G13" s="35">
        <f>C13*0.4+(100-E13)*0.3+MIN(F13/100,100)*0.3</f>
        <v/>
      </c>
      <c r="H13" s="36">
        <f>IF(G13&gt;=95,"A+",IF(G13&gt;=90,"A",IF(G13&gt;=85,"B+",IF(G13&gt;=80,"B",IF(G13&gt;=70,"C","D")))))</f>
        <v/>
      </c>
    </row>
    <row r="14">
      <c r="A14" s="7" t="inlineStr">
        <is>
          <t>Superpower</t>
        </is>
      </c>
      <c r="B14" s="8">
        <f>COUNTIF('Agent Registry'!$C$5:$C$80,A14)</f>
        <v/>
      </c>
      <c r="C14" s="25">
        <f>IFERROR(AVERAGEIF('Agent Registry'!$C$5:$C$80,A14,'Agent Registry'!$G$5:$G$80),0)</f>
        <v/>
      </c>
      <c r="D14" s="37" t="n">
        <v>12</v>
      </c>
      <c r="E14" s="25">
        <f>IFERROR(SUMIF('Agent Registry'!$C$5:$C$80,A14,'Agent Registry'!$I$5:$I$80)/(B14*100)*100,0)</f>
        <v/>
      </c>
      <c r="F14" s="6" t="n">
        <v>1100</v>
      </c>
      <c r="G14" s="28">
        <f>C14*0.4+(100-E14)*0.3+MIN(F14/100,100)*0.3</f>
        <v/>
      </c>
      <c r="H14" s="27">
        <f>IF(G14&gt;=95,"A+",IF(G14&gt;=90,"A",IF(G14&gt;=85,"B+",IF(G14&gt;=80,"B",IF(G14&gt;=70,"C","D")))))</f>
        <v/>
      </c>
    </row>
  </sheetData>
  <mergeCells count="2">
    <mergeCell ref="A2:H2"/>
    <mergeCell ref="A1:H1"/>
  </mergeCells>
  <conditionalFormatting sqref="G5:G14">
    <cfRule type="cellIs" priority="1" operator="greaterThan" dxfId="0">
      <formula>95</formula>
    </cfRule>
    <cfRule type="cellIs" priority="2" operator="between" dxfId="1">
      <formula>80</formula>
      <formula>95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C2626"/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2" customWidth="1" min="4" max="4"/>
    <col width="55" customWidth="1" min="5" max="5"/>
    <col width="50" customWidth="1" min="6" max="6"/>
    <col width="12" customWidth="1" min="7" max="7"/>
    <col width="12" customWidth="1" min="8" max="8"/>
  </cols>
  <sheetData>
    <row r="1">
      <c r="A1" s="1" t="inlineStr">
        <is>
          <t>Agent Error Log</t>
        </is>
      </c>
    </row>
    <row r="2">
      <c r="A2" s="2" t="inlineStr">
        <is>
          <t>Track and resolve agent errors — sorted by severity</t>
        </is>
      </c>
    </row>
    <row r="4">
      <c r="A4" s="3" t="inlineStr">
        <is>
          <t>Timestamp</t>
        </is>
      </c>
      <c r="B4" s="3" t="inlineStr">
        <is>
          <t>Agent ID</t>
        </is>
      </c>
      <c r="C4" s="3" t="inlineStr">
        <is>
          <t>Error Type</t>
        </is>
      </c>
      <c r="D4" s="3" t="inlineStr">
        <is>
          <t>Severity</t>
        </is>
      </c>
      <c r="E4" s="3" t="inlineStr">
        <is>
          <t>Message</t>
        </is>
      </c>
      <c r="F4" s="3" t="inlineStr">
        <is>
          <t>Resolution</t>
        </is>
      </c>
      <c r="G4" s="3" t="inlineStr">
        <is>
          <t>Retry Count</t>
        </is>
      </c>
      <c r="H4" s="3" t="inlineStr">
        <is>
          <t>Resolved?</t>
        </is>
      </c>
    </row>
    <row r="5">
      <c r="A5" s="13" t="n">
        <v>45852.38541666666</v>
      </c>
      <c r="B5" s="10" t="inlineStr">
        <is>
          <t>A02</t>
        </is>
      </c>
      <c r="C5" s="10" t="inlineStr">
        <is>
          <t>SQLITE</t>
        </is>
      </c>
      <c r="D5" s="38" t="inlineStr">
        <is>
          <t>CRITICAL</t>
        </is>
      </c>
      <c r="E5" s="11" t="inlineStr">
        <is>
          <t>SQLITE_BUSY — database is locked after 60s timeout</t>
        </is>
      </c>
      <c r="F5" s="11" t="inlineStr">
        <is>
          <t>Increased busy_timeout to 180s; reduced concurrent connections</t>
        </is>
      </c>
      <c r="G5" s="10" t="n">
        <v>3</v>
      </c>
      <c r="H5" s="12" t="inlineStr">
        <is>
          <t>YES</t>
        </is>
      </c>
    </row>
    <row r="6">
      <c r="A6" s="9" t="n">
        <v>45852.3625</v>
      </c>
      <c r="B6" s="6" t="inlineStr">
        <is>
          <t>D999-08</t>
        </is>
      </c>
      <c r="C6" s="6" t="inlineStr">
        <is>
          <t>PIPE</t>
        </is>
      </c>
      <c r="D6" s="38" t="inlineStr">
        <is>
          <t>CRITICAL</t>
        </is>
      </c>
      <c r="E6" s="7" t="inlineStr">
        <is>
          <t>write EAGAIN — pipe buffer overflow on stdout</t>
        </is>
      </c>
      <c r="F6" s="7" t="inlineStr">
        <is>
          <t>Reduced concurrent shells from 3→2; output capped at 100 lines</t>
        </is>
      </c>
      <c r="G6" s="6" t="n">
        <v>0</v>
      </c>
      <c r="H6" s="8" t="inlineStr">
        <is>
          <t>YES</t>
        </is>
      </c>
    </row>
    <row r="7">
      <c r="A7" s="13" t="n">
        <v>45851.9375</v>
      </c>
      <c r="B7" s="10" t="inlineStr">
        <is>
          <t>A09</t>
        </is>
      </c>
      <c r="C7" s="10" t="inlineStr">
        <is>
          <t>IMPORT</t>
        </is>
      </c>
      <c r="D7" s="39" t="inlineStr">
        <is>
          <t>HIGH</t>
        </is>
      </c>
      <c r="E7" s="11" t="inlineStr">
        <is>
          <t>ImportError: No module named 'json' (shadow module in repo root)</t>
        </is>
      </c>
      <c r="F7" s="11" t="inlineStr">
        <is>
          <t>Set CWD to script directory; use safe_run() wrapper</t>
        </is>
      </c>
      <c r="G7" s="10" t="n">
        <v>1</v>
      </c>
      <c r="H7" s="12" t="inlineStr">
        <is>
          <t>YES</t>
        </is>
      </c>
    </row>
    <row r="8">
      <c r="A8" s="9" t="n">
        <v>45851.67013888889</v>
      </c>
      <c r="B8" s="6" t="inlineStr">
        <is>
          <t>F03</t>
        </is>
      </c>
      <c r="C8" s="6" t="inlineStr">
        <is>
          <t>FILE</t>
        </is>
      </c>
      <c r="D8" s="39" t="inlineStr">
        <is>
          <t>HIGH</t>
        </is>
      </c>
      <c r="E8" s="7" t="inlineStr">
        <is>
          <t>FileNotFoundError: knowledge_graph.db not found on G:\ drive</t>
        </is>
      </c>
      <c r="F8" s="7" t="inlineStr">
        <is>
          <t>Added drive availability check before graph build phase</t>
        </is>
      </c>
      <c r="G8" s="6" t="n">
        <v>2</v>
      </c>
      <c r="H8" s="8" t="inlineStr">
        <is>
          <t>YES</t>
        </is>
      </c>
    </row>
    <row r="9">
      <c r="A9" s="13" t="n">
        <v>45851.59722222222</v>
      </c>
      <c r="B9" s="10" t="inlineStr">
        <is>
          <t>K02</t>
        </is>
      </c>
      <c r="C9" s="10" t="inlineStr">
        <is>
          <t>TIMEOUT</t>
        </is>
      </c>
      <c r="D9" s="10" t="inlineStr">
        <is>
          <t>MEDIUM</t>
        </is>
      </c>
      <c r="E9" s="11" t="inlineStr">
        <is>
          <t>TimeoutError: Opposing strategy analysis exceeded 120s deadman switch</t>
        </is>
      </c>
      <c r="F9" s="11" t="inlineStr">
        <is>
          <t>Optimized query; added incremental processing with checkpoints</t>
        </is>
      </c>
      <c r="G9" s="10" t="n">
        <v>3</v>
      </c>
      <c r="H9" s="12" t="inlineStr">
        <is>
          <t>YES</t>
        </is>
      </c>
    </row>
    <row r="10">
      <c r="A10" s="9" t="n">
        <v>45850.45833333334</v>
      </c>
      <c r="B10" s="6" t="inlineStr">
        <is>
          <t>L04</t>
        </is>
      </c>
      <c r="C10" s="6" t="inlineStr">
        <is>
          <t>DATA</t>
        </is>
      </c>
      <c r="D10" s="6" t="inlineStr">
        <is>
          <t>MEDIUM</t>
        </is>
      </c>
      <c r="E10" s="7" t="inlineStr">
        <is>
          <t>MCR rule index missing entries for MCR 2.003(D) amendments</t>
        </is>
      </c>
      <c r="F10" s="7" t="inlineStr">
        <is>
          <t>Rebuilt rule index from authoritative source; verified completeness</t>
        </is>
      </c>
      <c r="G10" s="6" t="n">
        <v>1</v>
      </c>
      <c r="H10" s="8" t="inlineStr">
        <is>
          <t>YES</t>
        </is>
      </c>
    </row>
    <row r="11">
      <c r="A11" s="13" t="n">
        <v>45850.40625</v>
      </c>
      <c r="B11" s="10" t="inlineStr">
        <is>
          <t>J01</t>
        </is>
      </c>
      <c r="C11" s="10" t="inlineStr">
        <is>
          <t>PERMISSION</t>
        </is>
      </c>
      <c r="D11" s="10" t="inlineStr">
        <is>
          <t>MEDIUM</t>
        </is>
      </c>
      <c r="E11" s="11" t="inlineStr">
        <is>
          <t>PermissionError: Cannot write to judicial_findings table — WAL lock held</t>
        </is>
      </c>
      <c r="F11" s="11" t="inlineStr">
        <is>
          <t>Implemented retry with exponential backoff; max 3 retries</t>
        </is>
      </c>
      <c r="G11" s="10" t="n">
        <v>2</v>
      </c>
      <c r="H11" s="12" t="inlineStr">
        <is>
          <t>YES</t>
        </is>
      </c>
    </row>
    <row r="12">
      <c r="A12" s="9" t="n">
        <v>45849.84375</v>
      </c>
      <c r="B12" s="6" t="inlineStr">
        <is>
          <t>CP-03</t>
        </is>
      </c>
      <c r="C12" s="6" t="inlineStr">
        <is>
          <t>MEMORY</t>
        </is>
      </c>
      <c r="D12" s="6" t="inlineStr">
        <is>
          <t>LOW</t>
        </is>
      </c>
      <c r="E12" s="7" t="inlineStr">
        <is>
          <t>MemoryWarning: preflight QA cache exceeded 512MB threshold</t>
        </is>
      </c>
      <c r="F12" s="7" t="inlineStr">
        <is>
          <t>Added LRU eviction policy; cache capped at 256MB</t>
        </is>
      </c>
      <c r="G12" s="6" t="n">
        <v>0</v>
      </c>
      <c r="H12" s="8" t="inlineStr">
        <is>
          <t>YES</t>
        </is>
      </c>
    </row>
    <row r="13">
      <c r="A13" s="13" t="n">
        <v>45849.64583333334</v>
      </c>
      <c r="B13" s="10" t="inlineStr">
        <is>
          <t>SP-03</t>
        </is>
      </c>
      <c r="C13" s="10" t="inlineStr">
        <is>
          <t>UNKNOWN</t>
        </is>
      </c>
      <c r="D13" s="10" t="inlineStr">
        <is>
          <t>LOW</t>
        </is>
      </c>
      <c r="E13" s="11" t="inlineStr">
        <is>
          <t>Self-evolution cycle produced no improvements after 5 iterations</t>
        </is>
      </c>
      <c r="F13" s="11" t="inlineStr">
        <is>
          <t>Expanded training corpus; adjusted learning rate schedule</t>
        </is>
      </c>
      <c r="G13" s="10" t="n">
        <v>0</v>
      </c>
      <c r="H13" s="40" t="inlineStr">
        <is>
          <t>NO</t>
        </is>
      </c>
    </row>
    <row r="14">
      <c r="A14" s="9" t="n">
        <v>45848.5</v>
      </c>
      <c r="B14" s="6" t="inlineStr">
        <is>
          <t>B03</t>
        </is>
      </c>
      <c r="C14" s="6" t="inlineStr">
        <is>
          <t>DATA</t>
        </is>
      </c>
      <c r="D14" s="6" t="inlineStr">
        <is>
          <t>MEDIUM</t>
        </is>
      </c>
      <c r="E14" s="7" t="inlineStr">
        <is>
          <t>Timeline gap: 47-day hole in custody exchange records (Mar-Apr 2024)</t>
        </is>
      </c>
      <c r="F14" s="7" t="inlineStr">
        <is>
          <t>Created evidence acquisition task; flagged for manual review</t>
        </is>
      </c>
      <c r="G14" s="6" t="n">
        <v>0</v>
      </c>
      <c r="H14" s="41" t="inlineStr">
        <is>
          <t>NO</t>
        </is>
      </c>
    </row>
  </sheetData>
  <autoFilter ref="A4:H4"/>
  <mergeCells count="2">
    <mergeCell ref="A2:H2"/>
    <mergeCell ref="A1:H1"/>
  </mergeCells>
  <conditionalFormatting sqref="D5:D65">
    <cfRule type="cellIs" priority="1" operator="equal" dxfId="2">
      <formula>"CRITICAL"</formula>
    </cfRule>
    <cfRule type="cellIs" priority="2" operator="equal" dxfId="1">
      <formula>"HIGH"</formula>
    </cfRule>
  </conditionalFormatting>
  <dataValidations count="3">
    <dataValidation sqref="C5:C65" showDropDown="0" showInputMessage="0" showErrorMessage="0" allowBlank="1" prompt="Select error type" type="list">
      <formula1>"SQLITE,PIPE,IMPORT,FILE,TIMEOUT,NETWORK,DATA,PERMISSION,MEMORY,UNKNOWN"</formula1>
    </dataValidation>
    <dataValidation sqref="D5:D65" showDropDown="0" showInputMessage="0" showErrorMessage="0" allowBlank="1" prompt="Select severity" type="list">
      <formula1>"CRITICAL,HIGH,MEDIUM,LOW"</formula1>
    </dataValidation>
    <dataValidation sqref="H5:H65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2026-03-12T13:43:06Z</dcterms:created>
  <dcterms:modified xmlns:dcterms="http://purl.org/dc/terms/" xmlns:xsi="http://www.w3.org/2001/XMLSchema-instance" xsi:type="dcterms:W3CDTF">2026-03-12T13:43:06Z</dcterms:modified>
</cp:coreProperties>
</file>