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ling Pipeline" sheetId="2" state="visible" r:id="rId2"/>
    <sheet xmlns:r="http://schemas.openxmlformats.org/officeDocument/2006/relationships" name="Damages Calculator" sheetId="3" state="visible" r:id="rId3"/>
    <sheet xmlns:r="http://schemas.openxmlformats.org/officeDocument/2006/relationships" name="Evidence Arsenal" sheetId="4" state="visible" r:id="rId4"/>
    <sheet xmlns:r="http://schemas.openxmlformats.org/officeDocument/2006/relationships" name="System Heal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&quot;/100&quot;"/>
    <numFmt numFmtId="165" formatCode="$#,##0"/>
    <numFmt numFmtId="166" formatCode="yyyy-mm-dd"/>
    <numFmt numFmtId="167" formatCode="YYYY-MM-DD"/>
  </numFmts>
  <fonts count="34">
    <font>
      <name val="Calibri"/>
      <family val="2"/>
      <color theme="1"/>
      <sz val="11"/>
      <scheme val="minor"/>
    </font>
    <font>
      <name val="Aptos"/>
      <b val="1"/>
      <color rgb="000F172A"/>
      <sz val="16"/>
    </font>
    <font>
      <name val="Aptos"/>
      <i val="1"/>
      <color rgb="00334155"/>
      <sz val="10"/>
    </font>
    <font>
      <name val="Aptos"/>
      <b val="1"/>
      <color rgb="00FFFFFF"/>
      <sz val="12"/>
    </font>
    <font>
      <name val="Aptos"/>
      <b val="1"/>
      <color rgb="00000000"/>
      <sz val="10"/>
    </font>
    <font>
      <name val="Aptos"/>
      <b val="1"/>
      <color rgb="000F172A"/>
      <sz val="14"/>
    </font>
    <font>
      <name val="Aptos"/>
      <b val="1"/>
      <color rgb="00059669"/>
      <sz val="11"/>
    </font>
    <font>
      <name val="Aptos"/>
      <b val="1"/>
      <color rgb="00FFFFFF"/>
      <sz val="11"/>
    </font>
    <font>
      <name val="Aptos"/>
      <color rgb="00000000"/>
      <sz val="10"/>
    </font>
    <font>
      <name val="Aptos"/>
      <b val="1"/>
      <color rgb="00059669"/>
      <sz val="10"/>
    </font>
    <font>
      <name val="Aptos"/>
      <b val="1"/>
      <color rgb="004F46E5"/>
      <sz val="11"/>
    </font>
    <font>
      <name val="Aptos"/>
      <b val="1"/>
      <color rgb="007C3AED"/>
      <sz val="11"/>
    </font>
    <font>
      <name val="Aptos"/>
      <b val="1"/>
      <color rgb="00E11D48"/>
      <sz val="11"/>
    </font>
    <font>
      <name val="Aptos"/>
      <b val="1"/>
      <color rgb="00FFFFFF"/>
      <sz val="10"/>
    </font>
    <font>
      <name val="Aptos"/>
      <b val="1"/>
      <color rgb="00D97706"/>
      <sz val="11"/>
    </font>
    <font>
      <name val="Aptos"/>
      <b val="1"/>
      <color rgb="000284C7"/>
      <sz val="11"/>
    </font>
    <font>
      <name val="Aptos"/>
      <b val="1"/>
      <color rgb="00000000"/>
      <sz val="11"/>
    </font>
    <font>
      <name val="Aptos"/>
      <color rgb="001D4ED8"/>
      <sz val="10"/>
    </font>
    <font>
      <name val="Aptos"/>
      <b val="1"/>
      <color rgb="001D4ED8"/>
      <sz val="10"/>
    </font>
    <font>
      <name val="Aptos"/>
      <b val="1"/>
      <color rgb="000F172A"/>
      <sz val="11"/>
    </font>
    <font>
      <name val="Aptos"/>
      <color rgb="00334155"/>
      <sz val="9"/>
    </font>
    <font>
      <name val="Aptos"/>
      <b val="1"/>
      <color rgb="00DC2626"/>
      <sz val="10"/>
    </font>
    <font>
      <name val="Aptos"/>
      <b val="1"/>
      <color rgb="00DC2626"/>
      <sz val="12"/>
    </font>
    <font>
      <name val="Aptos"/>
      <b val="1"/>
      <color rgb="000F172A"/>
      <sz val="13"/>
    </font>
    <font>
      <name val="Aptos"/>
      <b val="1"/>
      <color rgb="004F46E5"/>
    </font>
    <font>
      <name val="Aptos"/>
      <color rgb="00000000"/>
      <sz val="9"/>
    </font>
    <font>
      <name val="Aptos"/>
      <b val="1"/>
      <color rgb="00059669"/>
    </font>
    <font>
      <name val="Aptos"/>
      <b val="1"/>
      <color rgb="00E11D48"/>
    </font>
    <font>
      <name val="Aptos"/>
      <b val="1"/>
      <color rgb="00D97706"/>
    </font>
    <font>
      <name val="Aptos"/>
      <b val="1"/>
      <color rgb="000284C7"/>
    </font>
    <font>
      <name val="Aptos"/>
      <color rgb="00334155"/>
      <sz val="10"/>
    </font>
    <font>
      <name val="Aptos"/>
      <b val="1"/>
      <color rgb="00DC2626"/>
    </font>
    <font>
      <name val="Aptos"/>
      <b val="1"/>
      <color rgb="00334155"/>
    </font>
    <font>
      <name val="Aptos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97706"/>
        <bgColor rgb="00D97706"/>
      </patternFill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E11D48"/>
        <bgColor rgb="00E11D48"/>
      </patternFill>
    </fill>
    <fill>
      <patternFill patternType="solid">
        <fgColor rgb="00EEF2FF"/>
        <bgColor rgb="00EEF2FF"/>
      </patternFill>
    </fill>
  </fills>
  <borders count="1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medium">
        <color rgb="004F46E5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59669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7C3AED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E11D48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double">
        <color rgb="000F172A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double">
        <color rgb="004F46E5"/>
      </top>
      <bottom style="double">
        <color rgb="004F46E5"/>
      </bottom>
    </border>
    <border>
      <left style="thin">
        <color rgb="00CBD5E1"/>
      </left>
      <right style="thin">
        <color rgb="00CBD5E1"/>
      </right>
      <top style="double">
        <color rgb="00059669"/>
      </top>
      <bottom style="double">
        <color rgb="00059669"/>
      </bottom>
    </border>
    <border>
      <left style="thin">
        <color rgb="00CBD5E1"/>
      </left>
      <right style="thin">
        <color rgb="00CBD5E1"/>
      </right>
      <top style="double">
        <color rgb="00E11D48"/>
      </top>
      <bottom style="double">
        <color rgb="00E11D48"/>
      </bottom>
    </border>
    <border>
      <left style="thin">
        <color rgb="00CBD5E1"/>
      </left>
      <right style="thin">
        <color rgb="00CBD5E1"/>
      </right>
      <top style="double">
        <color rgb="00D97706"/>
      </top>
      <bottom style="double">
        <color rgb="00D97706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" fontId="5" fillId="0" borderId="0" applyAlignment="1" pivotButton="0" quotePrefix="0" xfId="0">
      <alignment horizontal="left"/>
    </xf>
    <xf numFmtId="0" fontId="4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164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  <xf numFmtId="164" fontId="8" fillId="4" borderId="9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13" fillId="5" borderId="10" applyAlignment="1" pivotButton="0" quotePrefix="0" xfId="0">
      <alignment horizontal="center" vertical="center" wrapText="1"/>
    </xf>
    <xf numFmtId="0" fontId="15" fillId="4" borderId="11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 wrapText="1"/>
    </xf>
    <xf numFmtId="164" fontId="8" fillId="4" borderId="11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16" fillId="0" borderId="0" pivotButton="0" quotePrefix="0" xfId="0"/>
    <xf numFmtId="164" fontId="16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5" fontId="17" fillId="4" borderId="1" applyAlignment="1" pivotButton="0" quotePrefix="0" xfId="0">
      <alignment horizontal="center" vertical="center" wrapText="1"/>
    </xf>
    <xf numFmtId="165" fontId="16" fillId="0" borderId="0" pivotButton="0" quotePrefix="0" xfId="0"/>
    <xf numFmtId="0" fontId="19" fillId="4" borderId="1" applyAlignment="1" pivotButton="0" quotePrefix="0" xfId="0">
      <alignment horizontal="center" vertical="center" wrapText="1"/>
    </xf>
    <xf numFmtId="1" fontId="1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7" fontId="17" fillId="4" borderId="1" applyAlignment="1" pivotButton="0" quotePrefix="0" xfId="0">
      <alignment horizontal="center" vertical="center" wrapText="1"/>
    </xf>
    <xf numFmtId="1" fontId="8" fillId="4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12" pivotButton="0" quotePrefix="0" xfId="0"/>
    <xf numFmtId="0" fontId="16" fillId="0" borderId="12" pivotButton="0" quotePrefix="0" xfId="0"/>
    <xf numFmtId="0" fontId="4" fillId="0" borderId="12" pivotButton="0" quotePrefix="0" xfId="0"/>
    <xf numFmtId="0" fontId="3" fillId="6" borderId="1" applyAlignment="1" pivotButton="0" quotePrefix="0" xfId="0">
      <alignment horizontal="left" vertical="center"/>
    </xf>
    <xf numFmtId="0" fontId="20" fillId="0" borderId="6" pivotButton="0" quotePrefix="0" xfId="0"/>
    <xf numFmtId="0" fontId="8" fillId="0" borderId="1" applyAlignment="1" pivotButton="0" quotePrefix="0" xfId="0">
      <alignment horizontal="left"/>
    </xf>
    <xf numFmtId="165" fontId="17" fillId="0" borderId="1" pivotButton="0" quotePrefix="0" xfId="0"/>
    <xf numFmtId="0" fontId="2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3" pivotButton="0" quotePrefix="0" xfId="0"/>
    <xf numFmtId="0" fontId="16" fillId="0" borderId="13" pivotButton="0" quotePrefix="0" xfId="0"/>
    <xf numFmtId="165" fontId="16" fillId="0" borderId="13" pivotButton="0" quotePrefix="0" xfId="0"/>
    <xf numFmtId="0" fontId="3" fillId="7" borderId="1" applyAlignment="1" pivotButton="0" quotePrefix="0" xfId="0">
      <alignment horizontal="left" vertical="center"/>
    </xf>
    <xf numFmtId="0" fontId="20" fillId="0" borderId="7" pivotButton="0" quotePrefix="0" xfId="0"/>
    <xf numFmtId="165" fontId="4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14" pivotButton="0" quotePrefix="0" xfId="0"/>
    <xf numFmtId="0" fontId="16" fillId="0" borderId="14" pivotButton="0" quotePrefix="0" xfId="0"/>
    <xf numFmtId="165" fontId="16" fillId="0" borderId="14" pivotButton="0" quotePrefix="0" xfId="0"/>
    <xf numFmtId="0" fontId="3" fillId="8" borderId="1" applyAlignment="1" pivotButton="0" quotePrefix="0" xfId="0">
      <alignment horizontal="left" vertical="center"/>
    </xf>
    <xf numFmtId="0" fontId="20" fillId="0" borderId="9" pivotButton="0" quotePrefix="0" xfId="0"/>
    <xf numFmtId="0" fontId="0" fillId="0" borderId="15" pivotButton="0" quotePrefix="0" xfId="0"/>
    <xf numFmtId="0" fontId="16" fillId="0" borderId="15" pivotButton="0" quotePrefix="0" xfId="0"/>
    <xf numFmtId="165" fontId="16" fillId="0" borderId="15" pivotButton="0" quotePrefix="0" xfId="0"/>
    <xf numFmtId="0" fontId="3" fillId="5" borderId="1" applyAlignment="1" pivotButton="0" quotePrefix="0" xfId="0">
      <alignment horizontal="left" vertical="center"/>
    </xf>
    <xf numFmtId="0" fontId="20" fillId="0" borderId="10" pivotButton="0" quotePrefix="0" xfId="0"/>
    <xf numFmtId="0" fontId="0" fillId="0" borderId="16" pivotButton="0" quotePrefix="0" xfId="0"/>
    <xf numFmtId="0" fontId="16" fillId="0" borderId="16" pivotButton="0" quotePrefix="0" xfId="0"/>
    <xf numFmtId="165" fontId="16" fillId="0" borderId="16" pivotButton="0" quotePrefix="0" xfId="0"/>
    <xf numFmtId="0" fontId="3" fillId="3" borderId="1" applyAlignment="1" pivotButton="0" quotePrefix="0" xfId="0">
      <alignment horizontal="left" vertical="center"/>
    </xf>
    <xf numFmtId="0" fontId="10" fillId="0" borderId="6" pivotButton="0" quotePrefix="0" xfId="0"/>
    <xf numFmtId="0" fontId="4" fillId="0" borderId="1" pivotButton="0" quotePrefix="0" xfId="0"/>
    <xf numFmtId="165" fontId="9" fillId="0" borderId="1" pivotButton="0" quotePrefix="0" xfId="0"/>
    <xf numFmtId="0" fontId="6" fillId="0" borderId="7" pivotButton="0" quotePrefix="0" xfId="0"/>
    <xf numFmtId="0" fontId="12" fillId="0" borderId="9" pivotButton="0" quotePrefix="0" xfId="0"/>
    <xf numFmtId="0" fontId="14" fillId="0" borderId="10" pivotButton="0" quotePrefix="0" xfId="0"/>
    <xf numFmtId="0" fontId="0" fillId="9" borderId="12" pivotButton="0" quotePrefix="0" xfId="0"/>
    <xf numFmtId="0" fontId="23" fillId="9" borderId="12" pivotButton="0" quotePrefix="0" xfId="0"/>
    <xf numFmtId="165" fontId="23" fillId="9" borderId="12" pivotButton="0" quotePrefix="0" xfId="0"/>
    <xf numFmtId="0" fontId="10" fillId="4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3" fontId="17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3" fontId="17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3" fontId="17" fillId="4" borderId="8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3" fontId="17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14" fillId="4" borderId="10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center" wrapText="1"/>
    </xf>
    <xf numFmtId="3" fontId="17" fillId="4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3" fontId="17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3" fontId="16" fillId="0" borderId="12" pivotButton="0" quotePrefix="0" xfId="0"/>
    <xf numFmtId="0" fontId="24" fillId="0" borderId="6" pivotButton="0" quotePrefix="0" xfId="0"/>
    <xf numFmtId="0" fontId="25" fillId="0" borderId="1" applyAlignment="1" pivotButton="0" quotePrefix="0" xfId="0">
      <alignment horizontal="left" wrapText="1"/>
    </xf>
    <xf numFmtId="0" fontId="26" fillId="0" borderId="7" pivotButton="0" quotePrefix="0" xfId="0"/>
    <xf numFmtId="0" fontId="27" fillId="0" borderId="9" pivotButton="0" quotePrefix="0" xfId="0"/>
    <xf numFmtId="0" fontId="28" fillId="0" borderId="10" pivotButton="0" quotePrefix="0" xfId="0"/>
    <xf numFmtId="0" fontId="29" fillId="0" borderId="11" pivotButton="0" quotePrefix="0" xfId="0"/>
    <xf numFmtId="0" fontId="20" fillId="4" borderId="1" pivotButton="0" quotePrefix="0" xfId="0"/>
    <xf numFmtId="0" fontId="4" fillId="4" borderId="1" applyAlignment="1" pivotButton="0" quotePrefix="0" xfId="0">
      <alignment horizontal="left"/>
    </xf>
    <xf numFmtId="0" fontId="19" fillId="4" borderId="1" applyAlignment="1" pivotButton="0" quotePrefix="0" xfId="0">
      <alignment horizontal="center"/>
    </xf>
    <xf numFmtId="0" fontId="30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0" fillId="4" borderId="1" pivotButton="0" quotePrefix="0" xfId="0"/>
    <xf numFmtId="0" fontId="20" fillId="0" borderId="1" pivotButton="0" quotePrefix="0" xfId="0"/>
    <xf numFmtId="0" fontId="4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center"/>
    </xf>
    <xf numFmtId="0" fontId="3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left" wrapText="1"/>
    </xf>
    <xf numFmtId="0" fontId="28" fillId="0" borderId="1" applyAlignment="1" pivotButton="0" quotePrefix="0" xfId="0">
      <alignment horizontal="center"/>
    </xf>
    <xf numFmtId="0" fontId="31" fillId="0" borderId="1" applyAlignment="1" pivotButton="0" quotePrefix="0" xfId="0">
      <alignment horizontal="center"/>
    </xf>
    <xf numFmtId="0" fontId="32" fillId="0" borderId="1" applyAlignment="1" pivotButton="0" quotePrefix="0" xfId="0">
      <alignment horizontal="center"/>
    </xf>
    <xf numFmtId="0" fontId="33" fillId="0" borderId="1" applyAlignment="1" pivotButton="0" quotePrefix="0" xfId="0">
      <alignment horizontal="center"/>
    </xf>
    <xf numFmtId="0" fontId="33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/>
    </xf>
    <xf numFmtId="0" fontId="26" fillId="4" borderId="1" applyAlignment="1" pivotButton="0" quotePrefix="0" xfId="0">
      <alignment horizontal="center"/>
    </xf>
    <xf numFmtId="0" fontId="20" fillId="4" borderId="1" applyAlignment="1" pivotButton="0" quotePrefix="0" xfId="0">
      <alignment horizontal="left"/>
    </xf>
  </cellXfs>
  <cellStyles count="1">
    <cellStyle name="Normal" xfId="0" builtinId="0" hidden="0"/>
  </cellStyles>
  <dxfs count="6"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1D4ED8"/>
      </font>
      <fill>
        <patternFill patternType="solid">
          <fgColor rgb="00DBEAFE"/>
          <bgColor rgb="00DBEAFE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DBEAFE"/>
          <b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PIGORS v. ALL ADVERSARIES — Executive Dashboard</t>
        </is>
      </c>
    </row>
    <row r="2">
      <c r="A2" s="2" t="inlineStr">
        <is>
          <t>LitigationOS Δ99 Ω∞ | 19 Defendants | 8 Jurisdictions</t>
        </is>
      </c>
    </row>
    <row r="4">
      <c r="A4" s="3" t="inlineStr">
        <is>
          <t xml:space="preserve">  CASE OVERVIEW</t>
        </is>
      </c>
      <c r="B4" s="4" t="n"/>
      <c r="C4" s="4" t="n"/>
      <c r="D4" s="4" t="n"/>
      <c r="E4" s="4" t="n"/>
      <c r="F4" s="4" t="n"/>
      <c r="G4" s="4" t="n"/>
      <c r="H4" s="5" t="n"/>
    </row>
    <row r="5">
      <c r="B5" s="6" t="inlineStr">
        <is>
          <t>Total Cases</t>
        </is>
      </c>
      <c r="C5" s="7" t="n">
        <v>6</v>
      </c>
      <c r="D5" s="6" t="inlineStr">
        <is>
          <t>Total Defendants</t>
        </is>
      </c>
      <c r="E5" s="7" t="n">
        <v>19</v>
      </c>
      <c r="F5" s="6" t="inlineStr">
        <is>
          <t>Total Jurisdictions</t>
        </is>
      </c>
      <c r="G5" s="7" t="n">
        <v>8</v>
      </c>
      <c r="H5" s="6" t="inlineStr">
        <is>
          <t>Filing Packages</t>
        </is>
      </c>
      <c r="I5" s="7" t="n">
        <v>26</v>
      </c>
    </row>
    <row r="6">
      <c r="B6" s="6" t="inlineStr">
        <is>
          <t>Days Since Separation</t>
        </is>
      </c>
      <c r="C6" s="8">
        <f>TODAY()-DATE(2024,6,15)</f>
        <v/>
      </c>
      <c r="E6" s="9" t="inlineStr">
        <is>
          <t>Est. Damages (Custody/Tort):</t>
        </is>
      </c>
      <c r="G6" s="10" t="inlineStr">
        <is>
          <t>$277K – $1.74M</t>
        </is>
      </c>
    </row>
    <row r="7">
      <c r="E7" s="9" t="inlineStr">
        <is>
          <t>Est. Damages (Housing w/ Treble):</t>
        </is>
      </c>
      <c r="G7" s="10" t="inlineStr">
        <is>
          <t>$2.6M – $17.6M</t>
        </is>
      </c>
    </row>
    <row r="9">
      <c r="A9" s="3" t="inlineStr">
        <is>
          <t xml:space="preserve">  LANE STATUS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11" t="inlineStr">
        <is>
          <t>Lane</t>
        </is>
      </c>
      <c r="B10" s="11" t="inlineStr">
        <is>
          <t>Name</t>
        </is>
      </c>
      <c r="C10" s="11" t="inlineStr">
        <is>
          <t>Case #</t>
        </is>
      </c>
      <c r="D10" s="11" t="inlineStr">
        <is>
          <t>Court</t>
        </is>
      </c>
      <c r="E10" s="11" t="inlineStr">
        <is>
          <t>Filings</t>
        </is>
      </c>
      <c r="F10" s="11" t="inlineStr">
        <is>
          <t>Readiness</t>
        </is>
      </c>
      <c r="G10" s="11" t="inlineStr">
        <is>
          <t>Status</t>
        </is>
      </c>
      <c r="H10" s="11" t="inlineStr"/>
    </row>
    <row r="11">
      <c r="A11" s="12" t="inlineStr">
        <is>
          <t>A</t>
        </is>
      </c>
      <c r="B11" s="13" t="inlineStr">
        <is>
          <t>Custody</t>
        </is>
      </c>
      <c r="C11" s="13" t="inlineStr">
        <is>
          <t>2024-001507-DC</t>
        </is>
      </c>
      <c r="D11" s="13" t="inlineStr">
        <is>
          <t>14th Circuit</t>
        </is>
      </c>
      <c r="E11" s="13" t="n">
        <v>8</v>
      </c>
      <c r="F11" s="14" t="n">
        <v>88</v>
      </c>
      <c r="G11" s="15" t="inlineStr">
        <is>
          <t>ACTIVE</t>
        </is>
      </c>
      <c r="H11" s="13" t="inlineStr"/>
    </row>
    <row r="12">
      <c r="A12" s="16" t="inlineStr">
        <is>
          <t>B</t>
        </is>
      </c>
      <c r="B12" s="17" t="inlineStr">
        <is>
          <t>Housing</t>
        </is>
      </c>
      <c r="C12" s="17" t="inlineStr">
        <is>
          <t>2025-002760-CZ</t>
        </is>
      </c>
      <c r="D12" s="17" t="inlineStr">
        <is>
          <t>14th Circuit</t>
        </is>
      </c>
      <c r="E12" s="17" t="n">
        <v>6</v>
      </c>
      <c r="F12" s="18" t="n">
        <v>82</v>
      </c>
      <c r="G12" s="19" t="inlineStr">
        <is>
          <t>ACTIVE</t>
        </is>
      </c>
      <c r="H12" s="17" t="inlineStr"/>
    </row>
    <row r="13">
      <c r="A13" s="20" t="inlineStr">
        <is>
          <t>C</t>
        </is>
      </c>
      <c r="B13" s="21" t="inlineStr">
        <is>
          <t>Convergence</t>
        </is>
      </c>
      <c r="C13" s="21" t="inlineStr">
        <is>
          <t>Multi</t>
        </is>
      </c>
      <c r="D13" s="21" t="inlineStr">
        <is>
          <t>Multi-Forum</t>
        </is>
      </c>
      <c r="E13" s="21" t="n">
        <v>2</v>
      </c>
      <c r="F13" s="22" t="n">
        <v>82</v>
      </c>
      <c r="G13" s="23" t="inlineStr">
        <is>
          <t>ACTIVE</t>
        </is>
      </c>
      <c r="H13" s="21" t="inlineStr"/>
    </row>
    <row r="14">
      <c r="A14" s="24" t="inlineStr">
        <is>
          <t>D</t>
        </is>
      </c>
      <c r="B14" s="25" t="inlineStr">
        <is>
          <t>PPO</t>
        </is>
      </c>
      <c r="C14" s="25" t="inlineStr">
        <is>
          <t>2023-5907-PP</t>
        </is>
      </c>
      <c r="D14" s="25" t="inlineStr">
        <is>
          <t>14th Circuit</t>
        </is>
      </c>
      <c r="E14" s="25" t="n">
        <v>2</v>
      </c>
      <c r="F14" s="26" t="n">
        <v>80</v>
      </c>
      <c r="G14" s="27" t="inlineStr">
        <is>
          <t>ACTIVE</t>
        </is>
      </c>
      <c r="H14" s="25" t="inlineStr"/>
    </row>
    <row r="15">
      <c r="A15" s="28" t="inlineStr">
        <is>
          <t>E</t>
        </is>
      </c>
      <c r="B15" s="29" t="inlineStr">
        <is>
          <t>Misconduct</t>
        </is>
      </c>
      <c r="C15" s="29" t="inlineStr">
        <is>
          <t>N/A</t>
        </is>
      </c>
      <c r="D15" s="29" t="inlineStr">
        <is>
          <t>JTC/AGC/MSC</t>
        </is>
      </c>
      <c r="E15" s="29" t="n">
        <v>6</v>
      </c>
      <c r="F15" s="30" t="n">
        <v>93</v>
      </c>
      <c r="G15" s="31" t="inlineStr">
        <is>
          <t>PRIORITY</t>
        </is>
      </c>
      <c r="H15" s="29" t="inlineStr"/>
    </row>
    <row r="16">
      <c r="A16" s="32" t="inlineStr">
        <is>
          <t>F</t>
        </is>
      </c>
      <c r="B16" s="33" t="inlineStr">
        <is>
          <t>Appellate</t>
        </is>
      </c>
      <c r="C16" s="33" t="inlineStr">
        <is>
          <t>COA 366810</t>
        </is>
      </c>
      <c r="D16" s="33" t="inlineStr">
        <is>
          <t>COA/MSC</t>
        </is>
      </c>
      <c r="E16" s="33" t="n">
        <v>8</v>
      </c>
      <c r="F16" s="34" t="n">
        <v>88</v>
      </c>
      <c r="G16" s="35" t="inlineStr">
        <is>
          <t>ACTIVE</t>
        </is>
      </c>
      <c r="H16" s="33" t="inlineStr"/>
    </row>
    <row r="17">
      <c r="D17" s="9" t="inlineStr">
        <is>
          <t>Total Filings:</t>
        </is>
      </c>
      <c r="E17" s="36">
        <f>SUM(E11:E16)</f>
        <v/>
      </c>
      <c r="F17" s="9" t="inlineStr">
        <is>
          <t>Avg Readiness:</t>
        </is>
      </c>
      <c r="G17" s="37">
        <f>ROUND(AVERAGE(F11:F16),0)</f>
        <v/>
      </c>
    </row>
    <row r="19">
      <c r="A19" s="3" t="inlineStr">
        <is>
          <t xml:space="preserve">  ADVERSARY MATRIX — TOP 10</t>
        </is>
      </c>
      <c r="B19" s="4" t="n"/>
      <c r="C19" s="4" t="n"/>
      <c r="D19" s="4" t="n"/>
      <c r="E19" s="4" t="n"/>
      <c r="F19" s="4" t="n"/>
      <c r="G19" s="4" t="n"/>
      <c r="H19" s="5" t="n"/>
    </row>
    <row r="20">
      <c r="A20" s="11" t="inlineStr">
        <is>
          <t>#</t>
        </is>
      </c>
      <c r="B20" s="11" t="inlineStr">
        <is>
          <t>Adversary</t>
        </is>
      </c>
      <c r="C20" s="11" t="inlineStr">
        <is>
          <t>Role</t>
        </is>
      </c>
      <c r="D20" s="11" t="inlineStr">
        <is>
          <t>Lanes</t>
        </is>
      </c>
      <c r="E20" s="11" t="inlineStr">
        <is>
          <t>Damages Low</t>
        </is>
      </c>
      <c r="F20" s="11" t="inlineStr">
        <is>
          <t>Damages High</t>
        </is>
      </c>
      <c r="G20" s="11" t="inlineStr"/>
      <c r="H20" s="11" t="inlineStr"/>
    </row>
    <row r="21">
      <c r="A21" s="38" t="n">
        <v>1</v>
      </c>
      <c r="B21" s="38" t="inlineStr">
        <is>
          <t>Emily A. Watson</t>
        </is>
      </c>
      <c r="C21" s="38" t="inlineStr">
        <is>
          <t>Primary tortfeasor</t>
        </is>
      </c>
      <c r="D21" s="38" t="inlineStr">
        <is>
          <t>A, D</t>
        </is>
      </c>
      <c r="E21" s="39" t="n">
        <v>125000</v>
      </c>
      <c r="F21" s="39" t="n">
        <v>750000</v>
      </c>
      <c r="G21" s="38" t="inlineStr"/>
      <c r="H21" s="38" t="inlineStr"/>
    </row>
    <row r="22">
      <c r="A22" s="40" t="n">
        <v>2</v>
      </c>
      <c r="B22" s="40" t="inlineStr">
        <is>
          <t>Hon. Jenny L. McNeill</t>
        </is>
      </c>
      <c r="C22" s="40" t="inlineStr">
        <is>
          <t>Judge (misconduct)</t>
        </is>
      </c>
      <c r="D22" s="40" t="inlineStr">
        <is>
          <t>E, F</t>
        </is>
      </c>
      <c r="E22" s="41" t="n">
        <v>150000</v>
      </c>
      <c r="F22" s="41" t="n">
        <v>1500000</v>
      </c>
      <c r="G22" s="40" t="inlineStr"/>
      <c r="H22" s="40" t="inlineStr"/>
    </row>
    <row r="23">
      <c r="A23" s="38" t="n">
        <v>3</v>
      </c>
      <c r="B23" s="38" t="inlineStr">
        <is>
          <t>Shady Oaks Park MHP LLC</t>
        </is>
      </c>
      <c r="C23" s="38" t="inlineStr">
        <is>
          <t>Dissolved NJ LLC</t>
        </is>
      </c>
      <c r="D23" s="38" t="inlineStr">
        <is>
          <t>B</t>
        </is>
      </c>
      <c r="E23" s="39" t="n">
        <v>100000</v>
      </c>
      <c r="F23" s="39" t="n">
        <v>500000</v>
      </c>
      <c r="G23" s="38" t="inlineStr"/>
      <c r="H23" s="38" t="inlineStr"/>
    </row>
    <row r="24">
      <c r="A24" s="40" t="n">
        <v>4</v>
      </c>
      <c r="B24" s="40" t="inlineStr">
        <is>
          <t>Homes of America LLC</t>
        </is>
      </c>
      <c r="C24" s="40" t="inlineStr">
        <is>
          <t>Corporate operator</t>
        </is>
      </c>
      <c r="D24" s="40" t="inlineStr">
        <is>
          <t>B</t>
        </is>
      </c>
      <c r="E24" s="41" t="n">
        <v>200000</v>
      </c>
      <c r="F24" s="41" t="n">
        <v>1000000</v>
      </c>
      <c r="G24" s="40" t="inlineStr"/>
      <c r="H24" s="40" t="inlineStr"/>
    </row>
    <row r="25">
      <c r="A25" s="38" t="n">
        <v>5</v>
      </c>
      <c r="B25" s="38" t="inlineStr">
        <is>
          <t>Alden Global Capital LLC</t>
        </is>
      </c>
      <c r="C25" s="38" t="inlineStr">
        <is>
          <t>Ultimate parent</t>
        </is>
      </c>
      <c r="D25" s="38" t="inlineStr">
        <is>
          <t>B</t>
        </is>
      </c>
      <c r="E25" s="39" t="n">
        <v>500000</v>
      </c>
      <c r="F25" s="39" t="n">
        <v>5000000</v>
      </c>
      <c r="G25" s="38" t="inlineStr"/>
      <c r="H25" s="38" t="inlineStr"/>
    </row>
    <row r="26">
      <c r="A26" s="40" t="n">
        <v>6</v>
      </c>
      <c r="B26" s="40" t="inlineStr">
        <is>
          <t>Albert Watson</t>
        </is>
      </c>
      <c r="C26" s="40" t="inlineStr">
        <is>
          <t>Primary intimidator</t>
        </is>
      </c>
      <c r="D26" s="40" t="inlineStr">
        <is>
          <t>A</t>
        </is>
      </c>
      <c r="E26" s="41" t="n">
        <v>25000</v>
      </c>
      <c r="F26" s="41" t="n">
        <v>150000</v>
      </c>
      <c r="G26" s="40" t="inlineStr"/>
      <c r="H26" s="40" t="inlineStr"/>
    </row>
    <row r="27">
      <c r="A27" s="38" t="n">
        <v>7</v>
      </c>
      <c r="B27" s="38" t="inlineStr">
        <is>
          <t>Ronald Berry</t>
        </is>
      </c>
      <c r="C27" s="38" t="inlineStr">
        <is>
          <t>Shadow legal help</t>
        </is>
      </c>
      <c r="D27" s="38" t="inlineStr">
        <is>
          <t>E</t>
        </is>
      </c>
      <c r="E27" s="39" t="n">
        <v>25000</v>
      </c>
      <c r="F27" s="39" t="n">
        <v>100000</v>
      </c>
      <c r="G27" s="38" t="inlineStr"/>
      <c r="H27" s="38" t="inlineStr"/>
    </row>
    <row r="28">
      <c r="A28" s="40" t="n">
        <v>8</v>
      </c>
      <c r="B28" s="40" t="inlineStr">
        <is>
          <t>Pamela Rusco</t>
        </is>
      </c>
      <c r="C28" s="40" t="inlineStr">
        <is>
          <t>FOC Referee</t>
        </is>
      </c>
      <c r="D28" s="40" t="inlineStr">
        <is>
          <t>A, E</t>
        </is>
      </c>
      <c r="E28" s="41" t="n">
        <v>25000</v>
      </c>
      <c r="F28" s="41" t="n">
        <v>100000</v>
      </c>
      <c r="G28" s="40" t="inlineStr"/>
      <c r="H28" s="40" t="inlineStr"/>
    </row>
    <row r="29">
      <c r="A29" s="38" t="n">
        <v>9</v>
      </c>
      <c r="B29" s="38" t="inlineStr">
        <is>
          <t>Muskegon County</t>
        </is>
      </c>
      <c r="C29" s="38" t="inlineStr">
        <is>
          <t>Municipal entity</t>
        </is>
      </c>
      <c r="D29" s="38" t="inlineStr">
        <is>
          <t>E</t>
        </is>
      </c>
      <c r="E29" s="39" t="n">
        <v>100000</v>
      </c>
      <c r="F29" s="39" t="n">
        <v>500000</v>
      </c>
      <c r="G29" s="38" t="inlineStr"/>
      <c r="H29" s="38" t="inlineStr"/>
    </row>
    <row r="30">
      <c r="A30" s="40" t="n">
        <v>10</v>
      </c>
      <c r="B30" s="40" t="inlineStr">
        <is>
          <t>Mandi Martini Esq</t>
        </is>
      </c>
      <c r="C30" s="40" t="inlineStr">
        <is>
          <t>Former attorney</t>
        </is>
      </c>
      <c r="D30" s="40" t="inlineStr">
        <is>
          <t>—</t>
        </is>
      </c>
      <c r="E30" s="41" t="n">
        <v>5000</v>
      </c>
      <c r="F30" s="41" t="n">
        <v>25000</v>
      </c>
      <c r="G30" s="40" t="inlineStr"/>
      <c r="H30" s="40" t="inlineStr"/>
    </row>
    <row r="31">
      <c r="D31" s="9" t="inlineStr">
        <is>
          <t>TOTALS:</t>
        </is>
      </c>
      <c r="E31" s="42">
        <f>SUM(E21:E30)</f>
        <v/>
      </c>
      <c r="F31" s="42">
        <f>SUM(F21:F30)</f>
        <v/>
      </c>
    </row>
  </sheetData>
  <mergeCells count="5">
    <mergeCell ref="A9:H9"/>
    <mergeCell ref="A4:H4"/>
    <mergeCell ref="A2:H2"/>
    <mergeCell ref="A19:H19"/>
    <mergeCell ref="A1:H1"/>
  </mergeCells>
  <pageMargins left="0.4" right="0.4" top="0.5" bottom="0.5" header="0.5" footer="0.5"/>
  <pageSetup orientation="landscape" paperSize="1" fitToHeight="0" fitToWidth="1"/>
  <headerFooter>
    <oddHeader>&amp;C&amp;"Aptos,Bold"&amp;8 PIGORS v. ALL ADVERSARIES — PRIVILEGED &amp; CONFIDENTIAL</oddHeader>
    <oddFooter>&amp;LLitigationOS Δ99 Ω∞&amp;RPage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I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Filing Pipeline — All 26 Packages</t>
        </is>
      </c>
    </row>
    <row r="2">
      <c r="A2" s="2" t="inlineStr">
        <is>
          <t>GO/NO-GO = Readiness ≥ 80 | Color: Green=GO, Yellow=CONDITIONAL, Red=NO-GO</t>
        </is>
      </c>
    </row>
    <row r="3">
      <c r="A3" s="11" t="inlineStr">
        <is>
          <t>Wave</t>
        </is>
      </c>
      <c r="B3" s="11" t="inlineStr">
        <is>
          <t>Filing</t>
        </is>
      </c>
      <c r="C3" s="11" t="inlineStr">
        <is>
          <t>Court</t>
        </is>
      </c>
      <c r="D3" s="11" t="inlineStr">
        <is>
          <t># Docs</t>
        </is>
      </c>
      <c r="E3" s="11" t="inlineStr">
        <is>
          <t>Readiness</t>
        </is>
      </c>
      <c r="F3" s="11" t="inlineStr">
        <is>
          <t>GO/NO-GO</t>
        </is>
      </c>
      <c r="G3" s="11" t="inlineStr">
        <is>
          <t>Target Date</t>
        </is>
      </c>
      <c r="H3" s="11" t="inlineStr">
        <is>
          <t>Actual Filed</t>
        </is>
      </c>
      <c r="I3" s="11" t="inlineStr">
        <is>
          <t>Days Until</t>
        </is>
      </c>
    </row>
    <row r="4">
      <c r="A4" s="43" t="inlineStr">
        <is>
          <t>W0</t>
        </is>
      </c>
      <c r="B4" s="40" t="inlineStr">
        <is>
          <t>Emergency PPO Enforcement Motion</t>
        </is>
      </c>
      <c r="C4" s="40" t="inlineStr">
        <is>
          <t>14th Circuit</t>
        </is>
      </c>
      <c r="D4" s="40" t="n">
        <v>4</v>
      </c>
      <c r="E4" s="44" t="n">
        <v>95</v>
      </c>
      <c r="F4" s="45">
        <f>IF(E4&gt;=80,"GO",IF(E4&gt;=60,"CONDITIONAL","NO-GO"))</f>
        <v/>
      </c>
      <c r="G4" s="46" t="n">
        <v>45672</v>
      </c>
      <c r="H4" s="46" t="n">
        <v>45667</v>
      </c>
      <c r="I4" s="47">
        <f>IF(G4="","—",G4-TODAY())</f>
        <v/>
      </c>
    </row>
    <row r="5">
      <c r="A5" s="38" t="inlineStr">
        <is>
          <t>W0</t>
        </is>
      </c>
      <c r="B5" s="38" t="inlineStr">
        <is>
          <t>Parenting Time Enforcement</t>
        </is>
      </c>
      <c r="C5" s="38" t="inlineStr">
        <is>
          <t>14th Circuit</t>
        </is>
      </c>
      <c r="D5" s="38" t="n">
        <v>3</v>
      </c>
      <c r="E5" s="48" t="n">
        <v>90</v>
      </c>
      <c r="F5" s="49">
        <f>IF(E5&gt;=80,"GO",IF(E5&gt;=60,"CONDITIONAL","NO-GO"))</f>
        <v/>
      </c>
      <c r="G5" s="50" t="n">
        <v>45677</v>
      </c>
      <c r="H5" s="50" t="n">
        <v>45675</v>
      </c>
      <c r="I5" s="51">
        <f>IF(G5="","—",G5-TODAY())</f>
        <v/>
      </c>
    </row>
    <row r="6">
      <c r="A6" s="43" t="inlineStr">
        <is>
          <t>W1</t>
        </is>
      </c>
      <c r="B6" s="40" t="inlineStr">
        <is>
          <t>Motion to Disqualify Judge McNeill</t>
        </is>
      </c>
      <c r="C6" s="40" t="inlineStr">
        <is>
          <t>14th Circuit</t>
        </is>
      </c>
      <c r="D6" s="40" t="n">
        <v>6</v>
      </c>
      <c r="E6" s="44" t="n">
        <v>92</v>
      </c>
      <c r="F6" s="45">
        <f>IF(E6&gt;=80,"GO",IF(E6&gt;=60,"CONDITIONAL","NO-GO"))</f>
        <v/>
      </c>
      <c r="G6" s="46" t="n">
        <v>45689</v>
      </c>
      <c r="H6" s="40" t="n"/>
      <c r="I6" s="47">
        <f>IF(G6="","—",G6-TODAY())</f>
        <v/>
      </c>
    </row>
    <row r="7">
      <c r="A7" s="38" t="inlineStr">
        <is>
          <t>W1</t>
        </is>
      </c>
      <c r="B7" s="38" t="inlineStr">
        <is>
          <t>JTC Complaint — McNeill</t>
        </is>
      </c>
      <c r="C7" s="38" t="inlineStr">
        <is>
          <t>JTC</t>
        </is>
      </c>
      <c r="D7" s="38" t="n">
        <v>8</v>
      </c>
      <c r="E7" s="48" t="n">
        <v>93</v>
      </c>
      <c r="F7" s="49">
        <f>IF(E7&gt;=80,"GO",IF(E7&gt;=60,"CONDITIONAL","NO-GO"))</f>
        <v/>
      </c>
      <c r="G7" s="50" t="n">
        <v>45703</v>
      </c>
      <c r="H7" s="38" t="n"/>
      <c r="I7" s="51">
        <f>IF(G7="","—",G7-TODAY())</f>
        <v/>
      </c>
    </row>
    <row r="8">
      <c r="A8" s="40" t="inlineStr">
        <is>
          <t>W1</t>
        </is>
      </c>
      <c r="B8" s="40" t="inlineStr">
        <is>
          <t>Attorney Grievance — Berry</t>
        </is>
      </c>
      <c r="C8" s="40" t="inlineStr">
        <is>
          <t>AGC</t>
        </is>
      </c>
      <c r="D8" s="40" t="n">
        <v>5</v>
      </c>
      <c r="E8" s="44" t="n">
        <v>88</v>
      </c>
      <c r="F8" s="45">
        <f>IF(E8&gt;=80,"GO",IF(E8&gt;=60,"CONDITIONAL","NO-GO"))</f>
        <v/>
      </c>
      <c r="G8" s="46" t="n">
        <v>45703</v>
      </c>
      <c r="H8" s="40" t="n"/>
      <c r="I8" s="47">
        <f>IF(G8="","—",G8-TODAY())</f>
        <v/>
      </c>
    </row>
    <row r="9">
      <c r="A9" s="38" t="inlineStr">
        <is>
          <t>W1</t>
        </is>
      </c>
      <c r="B9" s="38" t="inlineStr">
        <is>
          <t>FOC Complaint — Rusco</t>
        </is>
      </c>
      <c r="C9" s="38" t="inlineStr">
        <is>
          <t>SCAO</t>
        </is>
      </c>
      <c r="D9" s="38" t="n">
        <v>4</v>
      </c>
      <c r="E9" s="48" t="n">
        <v>85</v>
      </c>
      <c r="F9" s="49">
        <f>IF(E9&gt;=80,"GO",IF(E9&gt;=60,"CONDITIONAL","NO-GO"))</f>
        <v/>
      </c>
      <c r="G9" s="50" t="n">
        <v>45716</v>
      </c>
      <c r="H9" s="38" t="n"/>
      <c r="I9" s="51">
        <f>IF(G9="","—",G9-TODAY())</f>
        <v/>
      </c>
    </row>
    <row r="10">
      <c r="A10" s="43" t="inlineStr">
        <is>
          <t>W2</t>
        </is>
      </c>
      <c r="B10" s="40" t="inlineStr">
        <is>
          <t>MDHHS Formal Complaint — Shady Oaks</t>
        </is>
      </c>
      <c r="C10" s="40" t="inlineStr">
        <is>
          <t>MDHHS</t>
        </is>
      </c>
      <c r="D10" s="40" t="n">
        <v>5</v>
      </c>
      <c r="E10" s="44" t="n">
        <v>82</v>
      </c>
      <c r="F10" s="45">
        <f>IF(E10&gt;=80,"GO",IF(E10&gt;=60,"CONDITIONAL","NO-GO"))</f>
        <v/>
      </c>
      <c r="G10" s="46" t="n">
        <v>45717</v>
      </c>
      <c r="H10" s="40" t="n"/>
      <c r="I10" s="47">
        <f>IF(G10="","—",G10-TODAY())</f>
        <v/>
      </c>
    </row>
    <row r="11">
      <c r="A11" s="38" t="inlineStr">
        <is>
          <t>W2</t>
        </is>
      </c>
      <c r="B11" s="38" t="inlineStr">
        <is>
          <t>HUD Fair Housing Complaint</t>
        </is>
      </c>
      <c r="C11" s="38" t="inlineStr">
        <is>
          <t>HUD</t>
        </is>
      </c>
      <c r="D11" s="38" t="n">
        <v>4</v>
      </c>
      <c r="E11" s="48" t="n">
        <v>80</v>
      </c>
      <c r="F11" s="49">
        <f>IF(E11&gt;=80,"GO",IF(E11&gt;=60,"CONDITIONAL","NO-GO"))</f>
        <v/>
      </c>
      <c r="G11" s="50" t="n">
        <v>45731</v>
      </c>
      <c r="H11" s="38" t="n"/>
      <c r="I11" s="51">
        <f>IF(G11="","—",G11-TODAY())</f>
        <v/>
      </c>
    </row>
    <row r="12">
      <c r="A12" s="40" t="inlineStr">
        <is>
          <t>W2</t>
        </is>
      </c>
      <c r="B12" s="40" t="inlineStr">
        <is>
          <t>Shady Oaks Complaint (CZ)</t>
        </is>
      </c>
      <c r="C12" s="40" t="inlineStr">
        <is>
          <t>14th Circuit</t>
        </is>
      </c>
      <c r="D12" s="40" t="n">
        <v>7</v>
      </c>
      <c r="E12" s="44" t="n">
        <v>84</v>
      </c>
      <c r="F12" s="45">
        <f>IF(E12&gt;=80,"GO",IF(E12&gt;=60,"CONDITIONAL","NO-GO"))</f>
        <v/>
      </c>
      <c r="G12" s="46" t="n">
        <v>45731</v>
      </c>
      <c r="H12" s="40" t="n"/>
      <c r="I12" s="47">
        <f>IF(G12="","—",G12-TODAY())</f>
        <v/>
      </c>
    </row>
    <row r="13">
      <c r="A13" s="38" t="inlineStr">
        <is>
          <t>W2</t>
        </is>
      </c>
      <c r="B13" s="38" t="inlineStr">
        <is>
          <t>AG Consumer Protection Complaint</t>
        </is>
      </c>
      <c r="C13" s="38" t="inlineStr">
        <is>
          <t>MI AG</t>
        </is>
      </c>
      <c r="D13" s="38" t="n">
        <v>5</v>
      </c>
      <c r="E13" s="48" t="n">
        <v>78</v>
      </c>
      <c r="F13" s="49">
        <f>IF(E13&gt;=80,"GO",IF(E13&gt;=60,"CONDITIONAL","NO-GO"))</f>
        <v/>
      </c>
      <c r="G13" s="50" t="n">
        <v>45746</v>
      </c>
      <c r="H13" s="38" t="n"/>
      <c r="I13" s="51">
        <f>IF(G13="","—",G13-TODAY())</f>
        <v/>
      </c>
    </row>
    <row r="14">
      <c r="A14" s="43" t="inlineStr">
        <is>
          <t>W3</t>
        </is>
      </c>
      <c r="B14" s="40" t="inlineStr">
        <is>
          <t>Custody Modification Motion</t>
        </is>
      </c>
      <c r="C14" s="40" t="inlineStr">
        <is>
          <t>14th Circuit</t>
        </is>
      </c>
      <c r="D14" s="40" t="n">
        <v>8</v>
      </c>
      <c r="E14" s="44" t="n">
        <v>88</v>
      </c>
      <c r="F14" s="45">
        <f>IF(E14&gt;=80,"GO",IF(E14&gt;=60,"CONDITIONAL","NO-GO"))</f>
        <v/>
      </c>
      <c r="G14" s="46" t="n">
        <v>45748</v>
      </c>
      <c r="H14" s="40" t="n"/>
      <c r="I14" s="47">
        <f>IF(G14="","—",G14-TODAY())</f>
        <v/>
      </c>
    </row>
    <row r="15">
      <c r="A15" s="38" t="inlineStr">
        <is>
          <t>W3</t>
        </is>
      </c>
      <c r="B15" s="38" t="inlineStr">
        <is>
          <t>Motion for Sole Legal Custody</t>
        </is>
      </c>
      <c r="C15" s="38" t="inlineStr">
        <is>
          <t>14th Circuit</t>
        </is>
      </c>
      <c r="D15" s="38" t="n">
        <v>6</v>
      </c>
      <c r="E15" s="48" t="n">
        <v>86</v>
      </c>
      <c r="F15" s="49">
        <f>IF(E15&gt;=80,"GO",IF(E15&gt;=60,"CONDITIONAL","NO-GO"))</f>
        <v/>
      </c>
      <c r="G15" s="50" t="n">
        <v>45748</v>
      </c>
      <c r="H15" s="38" t="n"/>
      <c r="I15" s="51">
        <f>IF(G15="","—",G15-TODAY())</f>
        <v/>
      </c>
    </row>
    <row r="16">
      <c r="A16" s="40" t="inlineStr">
        <is>
          <t>W3</t>
        </is>
      </c>
      <c r="B16" s="40" t="inlineStr">
        <is>
          <t>Motion to Modify Parenting Time</t>
        </is>
      </c>
      <c r="C16" s="40" t="inlineStr">
        <is>
          <t>14th Circuit</t>
        </is>
      </c>
      <c r="D16" s="40" t="n">
        <v>5</v>
      </c>
      <c r="E16" s="44" t="n">
        <v>85</v>
      </c>
      <c r="F16" s="45">
        <f>IF(E16&gt;=80,"GO",IF(E16&gt;=60,"CONDITIONAL","NO-GO"))</f>
        <v/>
      </c>
      <c r="G16" s="46" t="n">
        <v>45762</v>
      </c>
      <c r="H16" s="40" t="n"/>
      <c r="I16" s="47">
        <f>IF(G16="","—",G16-TODAY())</f>
        <v/>
      </c>
    </row>
    <row r="17">
      <c r="A17" s="38" t="inlineStr">
        <is>
          <t>W3</t>
        </is>
      </c>
      <c r="B17" s="38" t="inlineStr">
        <is>
          <t>Motion for Contempt (Watson)</t>
        </is>
      </c>
      <c r="C17" s="38" t="inlineStr">
        <is>
          <t>14th Circuit</t>
        </is>
      </c>
      <c r="D17" s="38" t="n">
        <v>4</v>
      </c>
      <c r="E17" s="48" t="n">
        <v>90</v>
      </c>
      <c r="F17" s="49">
        <f>IF(E17&gt;=80,"GO",IF(E17&gt;=60,"CONDITIONAL","NO-GO"))</f>
        <v/>
      </c>
      <c r="G17" s="50" t="n">
        <v>45762</v>
      </c>
      <c r="H17" s="38" t="n"/>
      <c r="I17" s="51">
        <f>IF(G17="","—",G17-TODAY())</f>
        <v/>
      </c>
    </row>
    <row r="18">
      <c r="A18" s="43" t="inlineStr">
        <is>
          <t>W4</t>
        </is>
      </c>
      <c r="B18" s="40" t="inlineStr">
        <is>
          <t>COA Application for Leave to Appeal</t>
        </is>
      </c>
      <c r="C18" s="40" t="inlineStr">
        <is>
          <t>COA</t>
        </is>
      </c>
      <c r="D18" s="40" t="n">
        <v>10</v>
      </c>
      <c r="E18" s="44" t="n">
        <v>88</v>
      </c>
      <c r="F18" s="45">
        <f>IF(E18&gt;=80,"GO",IF(E18&gt;=60,"CONDITIONAL","NO-GO"))</f>
        <v/>
      </c>
      <c r="G18" s="46" t="n">
        <v>45778</v>
      </c>
      <c r="H18" s="40" t="n"/>
      <c r="I18" s="47">
        <f>IF(G18="","—",G18-TODAY())</f>
        <v/>
      </c>
    </row>
    <row r="19">
      <c r="A19" s="38" t="inlineStr">
        <is>
          <t>W4</t>
        </is>
      </c>
      <c r="B19" s="38" t="inlineStr">
        <is>
          <t>COA Brief on Appeal</t>
        </is>
      </c>
      <c r="C19" s="38" t="inlineStr">
        <is>
          <t>COA</t>
        </is>
      </c>
      <c r="D19" s="38" t="n">
        <v>12</v>
      </c>
      <c r="E19" s="48" t="n">
        <v>85</v>
      </c>
      <c r="F19" s="49">
        <f>IF(E19&gt;=80,"GO",IF(E19&gt;=60,"CONDITIONAL","NO-GO"))</f>
        <v/>
      </c>
      <c r="G19" s="50" t="n">
        <v>45809</v>
      </c>
      <c r="H19" s="38" t="n"/>
      <c r="I19" s="51">
        <f>IF(G19="","—",G19-TODAY())</f>
        <v/>
      </c>
    </row>
    <row r="20">
      <c r="A20" s="40" t="inlineStr">
        <is>
          <t>W4</t>
        </is>
      </c>
      <c r="B20" s="40" t="inlineStr">
        <is>
          <t>MSC Bypass Application</t>
        </is>
      </c>
      <c r="C20" s="40" t="inlineStr">
        <is>
          <t>MSC</t>
        </is>
      </c>
      <c r="D20" s="40" t="n">
        <v>8</v>
      </c>
      <c r="E20" s="44" t="n">
        <v>82</v>
      </c>
      <c r="F20" s="45">
        <f>IF(E20&gt;=80,"GO",IF(E20&gt;=60,"CONDITIONAL","NO-GO"))</f>
        <v/>
      </c>
      <c r="G20" s="46" t="n">
        <v>45792</v>
      </c>
      <c r="H20" s="40" t="n"/>
      <c r="I20" s="47">
        <f>IF(G20="","—",G20-TODAY())</f>
        <v/>
      </c>
    </row>
    <row r="21">
      <c r="A21" s="38" t="inlineStr">
        <is>
          <t>W4</t>
        </is>
      </c>
      <c r="B21" s="38" t="inlineStr">
        <is>
          <t>COA Motion to Stay Lower Court</t>
        </is>
      </c>
      <c r="C21" s="38" t="inlineStr">
        <is>
          <t>COA</t>
        </is>
      </c>
      <c r="D21" s="38" t="n">
        <v>4</v>
      </c>
      <c r="E21" s="48" t="n">
        <v>90</v>
      </c>
      <c r="F21" s="49">
        <f>IF(E21&gt;=80,"GO",IF(E21&gt;=60,"CONDITIONAL","NO-GO"))</f>
        <v/>
      </c>
      <c r="G21" s="50" t="n">
        <v>45778</v>
      </c>
      <c r="H21" s="38" t="n"/>
      <c r="I21" s="51">
        <f>IF(G21="","—",G21-TODAY())</f>
        <v/>
      </c>
    </row>
    <row r="22">
      <c r="A22" s="43" t="inlineStr">
        <is>
          <t>W5</t>
        </is>
      </c>
      <c r="B22" s="40" t="inlineStr">
        <is>
          <t>42 USC §1983 Federal Civil Rights</t>
        </is>
      </c>
      <c r="C22" s="40" t="inlineStr">
        <is>
          <t>W.D. Mich</t>
        </is>
      </c>
      <c r="D22" s="40" t="n">
        <v>8</v>
      </c>
      <c r="E22" s="44" t="n">
        <v>75</v>
      </c>
      <c r="F22" s="45">
        <f>IF(E22&gt;=80,"GO",IF(E22&gt;=60,"CONDITIONAL","NO-GO"))</f>
        <v/>
      </c>
      <c r="G22" s="46" t="n">
        <v>45839</v>
      </c>
      <c r="H22" s="40" t="n"/>
      <c r="I22" s="47">
        <f>IF(G22="","—",G22-TODAY())</f>
        <v/>
      </c>
    </row>
    <row r="23">
      <c r="A23" s="38" t="inlineStr">
        <is>
          <t>W5</t>
        </is>
      </c>
      <c r="B23" s="38" t="inlineStr">
        <is>
          <t>RICO Civil Action — Housing</t>
        </is>
      </c>
      <c r="C23" s="38" t="inlineStr">
        <is>
          <t>W.D. Mich</t>
        </is>
      </c>
      <c r="D23" s="38" t="n">
        <v>10</v>
      </c>
      <c r="E23" s="48" t="n">
        <v>72</v>
      </c>
      <c r="F23" s="49">
        <f>IF(E23&gt;=80,"GO",IF(E23&gt;=60,"CONDITIONAL","NO-GO"))</f>
        <v/>
      </c>
      <c r="G23" s="50" t="n">
        <v>45853</v>
      </c>
      <c r="H23" s="38" t="n"/>
      <c r="I23" s="51">
        <f>IF(G23="","—",G23-TODAY())</f>
        <v/>
      </c>
    </row>
    <row r="24">
      <c r="A24" s="40" t="inlineStr">
        <is>
          <t>W5</t>
        </is>
      </c>
      <c r="B24" s="40" t="inlineStr">
        <is>
          <t>Title IX / Dept of Education</t>
        </is>
      </c>
      <c r="C24" s="40" t="inlineStr">
        <is>
          <t>ED OCR</t>
        </is>
      </c>
      <c r="D24" s="40" t="n">
        <v>5</v>
      </c>
      <c r="E24" s="44" t="n">
        <v>70</v>
      </c>
      <c r="F24" s="45">
        <f>IF(E24&gt;=80,"GO",IF(E24&gt;=60,"CONDITIONAL","NO-GO"))</f>
        <v/>
      </c>
      <c r="G24" s="46" t="n">
        <v>45870</v>
      </c>
      <c r="H24" s="40" t="n"/>
      <c r="I24" s="47">
        <f>IF(G24="","—",G24-TODAY())</f>
        <v/>
      </c>
    </row>
    <row r="25">
      <c r="A25" s="38" t="inlineStr">
        <is>
          <t>W5</t>
        </is>
      </c>
      <c r="B25" s="38" t="inlineStr">
        <is>
          <t>ADA Accessibility — Court Records</t>
        </is>
      </c>
      <c r="C25" s="38" t="inlineStr">
        <is>
          <t>W.D. Mich</t>
        </is>
      </c>
      <c r="D25" s="38" t="n">
        <v>4</v>
      </c>
      <c r="E25" s="48" t="n">
        <v>68</v>
      </c>
      <c r="F25" s="49">
        <f>IF(E25&gt;=80,"GO",IF(E25&gt;=60,"CONDITIONAL","NO-GO"))</f>
        <v/>
      </c>
      <c r="G25" s="50" t="n">
        <v>45884</v>
      </c>
      <c r="H25" s="38" t="n"/>
      <c r="I25" s="51">
        <f>IF(G25="","—",G25-TODAY())</f>
        <v/>
      </c>
    </row>
    <row r="26">
      <c r="A26" s="43" t="inlineStr">
        <is>
          <t>W6</t>
        </is>
      </c>
      <c r="B26" s="40" t="inlineStr">
        <is>
          <t>MSC Application for Leave to Appeal</t>
        </is>
      </c>
      <c r="C26" s="40" t="inlineStr">
        <is>
          <t>MSC</t>
        </is>
      </c>
      <c r="D26" s="40" t="n">
        <v>8</v>
      </c>
      <c r="E26" s="44" t="n">
        <v>78</v>
      </c>
      <c r="F26" s="45">
        <f>IF(E26&gt;=80,"GO",IF(E26&gt;=60,"CONDITIONAL","NO-GO"))</f>
        <v/>
      </c>
      <c r="G26" s="46" t="n">
        <v>45901</v>
      </c>
      <c r="H26" s="40" t="n"/>
      <c r="I26" s="47">
        <f>IF(G26="","—",G26-TODAY())</f>
        <v/>
      </c>
    </row>
    <row r="27">
      <c r="A27" s="38" t="inlineStr">
        <is>
          <t>W6</t>
        </is>
      </c>
      <c r="B27" s="38" t="inlineStr">
        <is>
          <t>Petition for Superintending Control</t>
        </is>
      </c>
      <c r="C27" s="38" t="inlineStr">
        <is>
          <t>MSC</t>
        </is>
      </c>
      <c r="D27" s="38" t="n">
        <v>6</v>
      </c>
      <c r="E27" s="48" t="n">
        <v>76</v>
      </c>
      <c r="F27" s="49">
        <f>IF(E27&gt;=80,"GO",IF(E27&gt;=60,"CONDITIONAL","NO-GO"))</f>
        <v/>
      </c>
      <c r="G27" s="50" t="n">
        <v>45915</v>
      </c>
      <c r="H27" s="38" t="n"/>
      <c r="I27" s="51">
        <f>IF(G27="","—",G27-TODAY())</f>
        <v/>
      </c>
    </row>
    <row r="28">
      <c r="A28" s="40" t="inlineStr">
        <is>
          <t>W6</t>
        </is>
      </c>
      <c r="B28" s="40" t="inlineStr">
        <is>
          <t>Motion for Sanctions (MCR 1.109(E))</t>
        </is>
      </c>
      <c r="C28" s="40" t="inlineStr">
        <is>
          <t>14th Circuit</t>
        </is>
      </c>
      <c r="D28" s="40" t="n">
        <v>5</v>
      </c>
      <c r="E28" s="44" t="n">
        <v>80</v>
      </c>
      <c r="F28" s="45">
        <f>IF(E28&gt;=80,"GO",IF(E28&gt;=60,"CONDITIONAL","NO-GO"))</f>
        <v/>
      </c>
      <c r="G28" s="46" t="n">
        <v>45931</v>
      </c>
      <c r="H28" s="40" t="n"/>
      <c r="I28" s="47">
        <f>IF(G28="","—",G28-TODAY())</f>
        <v/>
      </c>
    </row>
    <row r="29">
      <c r="A29" s="38" t="inlineStr">
        <is>
          <t>W6</t>
        </is>
      </c>
      <c r="B29" s="38" t="inlineStr">
        <is>
          <t>Final Settlement Demand Package</t>
        </is>
      </c>
      <c r="C29" s="38" t="inlineStr">
        <is>
          <t>Multi-Forum</t>
        </is>
      </c>
      <c r="D29" s="38" t="n">
        <v>12</v>
      </c>
      <c r="E29" s="48" t="n">
        <v>74</v>
      </c>
      <c r="F29" s="49">
        <f>IF(E29&gt;=80,"GO",IF(E29&gt;=60,"CONDITIONAL","NO-GO"))</f>
        <v/>
      </c>
      <c r="G29" s="50" t="n">
        <v>45962</v>
      </c>
      <c r="H29" s="38" t="n"/>
      <c r="I29" s="51">
        <f>IF(G29="","—",G29-TODAY())</f>
        <v/>
      </c>
    </row>
    <row r="30">
      <c r="A30" s="52" t="inlineStr">
        <is>
          <t>TOTALS</t>
        </is>
      </c>
      <c r="B30" s="53" t="n"/>
      <c r="C30" s="53" t="n"/>
      <c r="D30" s="54">
        <f>SUM(D4:D29)</f>
        <v/>
      </c>
      <c r="E30" s="54">
        <f>ROUND(AVERAGE(E4:E29),0)</f>
        <v/>
      </c>
      <c r="F30" s="55">
        <f>COUNTIF(F4:F29,"GO")&amp;" GO / "&amp;COUNTIF(F4:F29,"CONDITIONAL")&amp;" COND / "&amp;COUNTIF(F4:F29,"NO-GO")&amp;" NO-GO"</f>
        <v/>
      </c>
      <c r="G30" s="53" t="n"/>
      <c r="H30" s="53" t="n"/>
      <c r="I30" s="53" t="n"/>
    </row>
  </sheetData>
  <mergeCells count="2">
    <mergeCell ref="A1:I1"/>
    <mergeCell ref="A2:H2"/>
  </mergeCells>
  <conditionalFormatting sqref="F4:F29">
    <cfRule type="cellIs" priority="1" operator="equal" dxfId="0">
      <formula>"GO"</formula>
    </cfRule>
    <cfRule type="cellIs" priority="2" operator="equal" dxfId="1">
      <formula>"CONDITIONAL"</formula>
    </cfRule>
    <cfRule type="cellIs" priority="3" operator="equal" dxfId="2">
      <formula>"NO-GO"</formula>
    </cfRule>
  </conditionalFormatting>
  <conditionalFormatting sqref="I4:I29">
    <cfRule type="cellIs" priority="4" operator="lessThan" dxfId="2">
      <formula>0</formula>
    </cfRule>
    <cfRule type="cellIs" priority="5" operator="between" dxfId="1">
      <formula>0</formula>
      <formula>30</formula>
    </cfRule>
  </conditionalFormatting>
  <pageMargins left="0.4" right="0.4" top="0.5" bottom="0.5" header="0.5" footer="0.5"/>
  <pageSetup orientation="landscape" paperSize="1" fitToHeight="0" fitToWidth="1"/>
  <headerFooter>
    <oddHeader>&amp;C&amp;"Aptos,Bold"&amp;8 PIGORS v. ALL ADVERSARIES — PRIVILEGED &amp; CONFIDENTIAL</oddHeader>
    <oddFooter>&amp;LLitigationOS Δ99 Ω∞&amp;RPage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Damages Calculator — Per-Lane Rollup</t>
        </is>
      </c>
    </row>
    <row r="2">
      <c r="A2" s="2" t="inlineStr">
        <is>
          <t>Blue cells = editable inputs | Black cells = formulas | Green = cross-sheet links</t>
        </is>
      </c>
    </row>
    <row r="4">
      <c r="A4" s="56" t="inlineStr">
        <is>
          <t xml:space="preserve">  LANE A — CUSTODY (Pigors v. Watson)</t>
        </is>
      </c>
      <c r="B4" s="4" t="n"/>
      <c r="C4" s="4" t="n"/>
      <c r="D4" s="4" t="n"/>
      <c r="E4" s="4" t="n"/>
      <c r="F4" s="4" t="n"/>
      <c r="G4" s="4" t="n"/>
      <c r="H4" s="5" t="n"/>
    </row>
    <row r="5">
      <c r="A5" s="11" t="inlineStr"/>
      <c r="B5" s="11" t="inlineStr">
        <is>
          <t>Component</t>
        </is>
      </c>
      <c r="C5" s="11" t="inlineStr">
        <is>
          <t>Low Estimate</t>
        </is>
      </c>
      <c r="D5" s="11" t="inlineStr">
        <is>
          <t>High Estimate</t>
        </is>
      </c>
      <c r="E5" s="11" t="inlineStr">
        <is>
          <t>Basis</t>
        </is>
      </c>
      <c r="F5" s="11" t="inlineStr"/>
      <c r="G5" s="11" t="inlineStr"/>
      <c r="H5" s="11" t="inlineStr"/>
    </row>
    <row r="6">
      <c r="A6" s="57" t="n">
        <v>1</v>
      </c>
      <c r="B6" s="58" t="inlineStr">
        <is>
          <t>Emotional Distress (Alienation)</t>
        </is>
      </c>
      <c r="C6" s="59" t="n">
        <v>50000</v>
      </c>
      <c r="D6" s="59" t="n">
        <v>300000</v>
      </c>
      <c r="E6" s="60" t="inlineStr">
        <is>
          <t>308K quotes, 91% alienation</t>
        </is>
      </c>
      <c r="F6" s="61" t="n"/>
      <c r="G6" s="61" t="n"/>
      <c r="H6" s="61" t="n"/>
    </row>
    <row r="7">
      <c r="A7" s="57" t="n">
        <v>2</v>
      </c>
      <c r="B7" s="58" t="inlineStr">
        <is>
          <t>Loss of Parental Relationship</t>
        </is>
      </c>
      <c r="C7" s="59" t="n">
        <v>75000</v>
      </c>
      <c r="D7" s="59" t="n">
        <v>500000</v>
      </c>
      <c r="E7" s="60" t="inlineStr">
        <is>
          <t>3,804 violations documented</t>
        </is>
      </c>
      <c r="F7" s="61" t="n"/>
      <c r="G7" s="61" t="n"/>
      <c r="H7" s="61" t="n"/>
    </row>
    <row r="8">
      <c r="A8" s="57" t="n">
        <v>3</v>
      </c>
      <c r="B8" s="58" t="inlineStr">
        <is>
          <t>Therapy &amp; Counseling Costs</t>
        </is>
      </c>
      <c r="C8" s="59" t="n">
        <v>12000</v>
      </c>
      <c r="D8" s="59" t="n">
        <v>40000</v>
      </c>
      <c r="E8" s="60" t="inlineStr">
        <is>
          <t>Past + future treatment</t>
        </is>
      </c>
      <c r="F8" s="61" t="n"/>
      <c r="G8" s="61" t="n"/>
      <c r="H8" s="61" t="n"/>
    </row>
    <row r="9">
      <c r="A9" s="57" t="n">
        <v>4</v>
      </c>
      <c r="B9" s="58" t="inlineStr">
        <is>
          <t>Lost Wages (Court Appearances)</t>
        </is>
      </c>
      <c r="C9" s="59" t="n">
        <v>15000</v>
      </c>
      <c r="D9" s="59" t="n">
        <v>50000</v>
      </c>
      <c r="E9" s="60" t="inlineStr">
        <is>
          <t>14th Circuit docket entries</t>
        </is>
      </c>
      <c r="F9" s="61" t="n"/>
      <c r="G9" s="61" t="n"/>
      <c r="H9" s="61" t="n"/>
    </row>
    <row r="10">
      <c r="A10" s="57" t="n">
        <v>5</v>
      </c>
      <c r="B10" s="58" t="inlineStr">
        <is>
          <t>Attorney Fees (Prior Counsel)</t>
        </is>
      </c>
      <c r="C10" s="59" t="n">
        <v>25000</v>
      </c>
      <c r="D10" s="59" t="n">
        <v>60000</v>
      </c>
      <c r="E10" s="60" t="inlineStr">
        <is>
          <t>Martini / other counsel</t>
        </is>
      </c>
      <c r="F10" s="61" t="n"/>
      <c r="G10" s="61" t="n"/>
      <c r="H10" s="61" t="n"/>
    </row>
    <row r="11">
      <c r="A11" s="57" t="n">
        <v>6</v>
      </c>
      <c r="B11" s="58" t="inlineStr">
        <is>
          <t>Punitive — Watson (Malice)</t>
        </is>
      </c>
      <c r="C11" s="59" t="n">
        <v>50000</v>
      </c>
      <c r="D11" s="59" t="n">
        <v>400000</v>
      </c>
      <c r="E11" s="60" t="inlineStr">
        <is>
          <t>Intentional interference</t>
        </is>
      </c>
      <c r="F11" s="61" t="n"/>
      <c r="G11" s="61" t="n"/>
      <c r="H11" s="61" t="n"/>
    </row>
    <row r="12">
      <c r="A12" s="57" t="n">
        <v>7</v>
      </c>
      <c r="B12" s="58" t="inlineStr">
        <is>
          <t>Punitive — County (Deliberate)</t>
        </is>
      </c>
      <c r="C12" s="59" t="n">
        <v>50000</v>
      </c>
      <c r="D12" s="59" t="n">
        <v>400000</v>
      </c>
      <c r="E12" s="60" t="inlineStr">
        <is>
          <t>Deliberate indifference</t>
        </is>
      </c>
      <c r="F12" s="61" t="n"/>
      <c r="G12" s="61" t="n"/>
      <c r="H12" s="61" t="n"/>
    </row>
    <row r="13">
      <c r="A13" s="62" t="n"/>
      <c r="B13" s="63" t="inlineStr">
        <is>
          <t>LANE A TOTAL</t>
        </is>
      </c>
      <c r="C13" s="64">
        <f>SUM(C6:C12)</f>
        <v/>
      </c>
      <c r="D13" s="64">
        <f>SUM(D6:D12)</f>
        <v/>
      </c>
      <c r="E13" s="62" t="n"/>
      <c r="F13" s="62" t="n"/>
      <c r="G13" s="62" t="n"/>
      <c r="H13" s="62" t="n"/>
    </row>
    <row r="15">
      <c r="A15" s="65" t="inlineStr">
        <is>
          <t xml:space="preserve">  LANE B — HOUSING (Shady Oaks / Alden)</t>
        </is>
      </c>
      <c r="B15" s="4" t="n"/>
      <c r="C15" s="4" t="n"/>
      <c r="D15" s="4" t="n"/>
      <c r="E15" s="4" t="n"/>
      <c r="F15" s="4" t="n"/>
      <c r="G15" s="4" t="n"/>
      <c r="H15" s="5" t="n"/>
    </row>
    <row r="16">
      <c r="A16" s="11" t="inlineStr"/>
      <c r="B16" s="11" t="inlineStr">
        <is>
          <t>Component</t>
        </is>
      </c>
      <c r="C16" s="11" t="inlineStr">
        <is>
          <t>Low Estimate</t>
        </is>
      </c>
      <c r="D16" s="11" t="inlineStr">
        <is>
          <t>High Estimate</t>
        </is>
      </c>
      <c r="E16" s="11" t="inlineStr">
        <is>
          <t>Basis</t>
        </is>
      </c>
      <c r="F16" s="11" t="inlineStr"/>
      <c r="G16" s="11" t="inlineStr"/>
      <c r="H16" s="11" t="inlineStr"/>
    </row>
    <row r="17">
      <c r="A17" s="66" t="n">
        <v>1</v>
      </c>
      <c r="B17" s="58" t="inlineStr">
        <is>
          <t>Illegal Rent Overcharges</t>
        </is>
      </c>
      <c r="C17" s="59" t="n">
        <v>6085</v>
      </c>
      <c r="D17" s="59" t="n">
        <v>18255</v>
      </c>
      <c r="E17" s="60" t="inlineStr">
        <is>
          <t>3 ledger versions, $6,085 proven</t>
        </is>
      </c>
      <c r="F17" s="61" t="n"/>
      <c r="G17" s="61" t="n"/>
      <c r="H17" s="61" t="n"/>
    </row>
    <row r="18">
      <c r="A18" s="66" t="n">
        <v>2</v>
      </c>
      <c r="B18" s="58" t="inlineStr">
        <is>
          <t>Uninhabitable Conditions</t>
        </is>
      </c>
      <c r="C18" s="59" t="n">
        <v>25000</v>
      </c>
      <c r="D18" s="59" t="n">
        <v>100000</v>
      </c>
      <c r="E18" s="60" t="inlineStr">
        <is>
          <t>Mobile Home Commission violations</t>
        </is>
      </c>
      <c r="F18" s="61" t="n"/>
      <c r="G18" s="61" t="n"/>
      <c r="H18" s="61" t="n"/>
    </row>
    <row r="19">
      <c r="A19" s="66" t="n">
        <v>3</v>
      </c>
      <c r="B19" s="58" t="inlineStr">
        <is>
          <t>Wrongful Eviction Attempt</t>
        </is>
      </c>
      <c r="C19" s="59" t="n">
        <v>15000</v>
      </c>
      <c r="D19" s="59" t="n">
        <v>75000</v>
      </c>
      <c r="E19" s="60" t="inlineStr">
        <is>
          <t>Retaliatory filing pattern</t>
        </is>
      </c>
      <c r="F19" s="61" t="n"/>
      <c r="G19" s="61" t="n"/>
      <c r="H19" s="61" t="n"/>
    </row>
    <row r="20">
      <c r="A20" s="66" t="n">
        <v>4</v>
      </c>
      <c r="B20" s="58" t="inlineStr">
        <is>
          <t>Lost Personal Property</t>
        </is>
      </c>
      <c r="C20" s="59" t="n">
        <v>10000</v>
      </c>
      <c r="D20" s="59" t="n">
        <v>50000</v>
      </c>
      <c r="E20" s="60" t="inlineStr">
        <is>
          <t>Dissolution of assets</t>
        </is>
      </c>
      <c r="F20" s="61" t="n"/>
      <c r="G20" s="61" t="n"/>
      <c r="H20" s="61" t="n"/>
    </row>
    <row r="21">
      <c r="A21" s="66" t="n">
        <v>5</v>
      </c>
      <c r="B21" s="58" t="inlineStr">
        <is>
          <t>Emotional Distress — Housing</t>
        </is>
      </c>
      <c r="C21" s="59" t="n">
        <v>25000</v>
      </c>
      <c r="D21" s="59" t="n">
        <v>150000</v>
      </c>
      <c r="E21" s="60" t="inlineStr">
        <is>
          <t>Child safety impact</t>
        </is>
      </c>
      <c r="F21" s="61" t="n"/>
      <c r="G21" s="61" t="n"/>
      <c r="H21" s="61" t="n"/>
    </row>
    <row r="22">
      <c r="A22" s="66" t="n">
        <v>6</v>
      </c>
      <c r="B22" s="58" t="inlineStr">
        <is>
          <t>Consumer Protection Violations</t>
        </is>
      </c>
      <c r="C22" s="59" t="n">
        <v>50000</v>
      </c>
      <c r="D22" s="59" t="n">
        <v>250000</v>
      </c>
      <c r="E22" s="60" t="inlineStr">
        <is>
          <t>MCPA/CPA pattern</t>
        </is>
      </c>
      <c r="F22" s="61" t="n"/>
      <c r="G22" s="61" t="n"/>
      <c r="H22" s="61" t="n"/>
    </row>
    <row r="23">
      <c r="A23" s="66" t="n">
        <v>7</v>
      </c>
      <c r="B23" s="58" t="inlineStr">
        <is>
          <t>Tax Fraud Impact (74% Gap)</t>
        </is>
      </c>
      <c r="C23" s="59" t="n">
        <v>50000</v>
      </c>
      <c r="D23" s="59" t="n">
        <v>300000</v>
      </c>
      <c r="E23" s="60" t="inlineStr">
        <is>
          <t>NJ dissolution + tax evasion</t>
        </is>
      </c>
      <c r="F23" s="61" t="n"/>
      <c r="G23" s="61" t="n"/>
      <c r="H23" s="61" t="n"/>
    </row>
    <row r="24">
      <c r="A24" s="66" t="n">
        <v>8</v>
      </c>
      <c r="B24" s="58" t="inlineStr">
        <is>
          <t>RICO — Pattern Enterprise</t>
        </is>
      </c>
      <c r="C24" s="59" t="n">
        <v>100000</v>
      </c>
      <c r="D24" s="59" t="n">
        <v>500000</v>
      </c>
      <c r="E24" s="60" t="inlineStr">
        <is>
          <t>Alden → HoA → Shady Oaks chain</t>
        </is>
      </c>
      <c r="F24" s="61" t="n"/>
      <c r="G24" s="61" t="n"/>
      <c r="H24" s="61" t="n"/>
    </row>
    <row r="25">
      <c r="B25" s="9" t="inlineStr">
        <is>
          <t>Lane B Base Total</t>
        </is>
      </c>
      <c r="C25" s="67">
        <f>SUM(C17:C24)</f>
        <v/>
      </c>
      <c r="D25" s="67">
        <f>SUM(D17:D24)</f>
        <v/>
      </c>
    </row>
    <row r="26">
      <c r="B26" s="68" t="inlineStr">
        <is>
          <t>× Treble Multiplier (RICO/CPA/Conversion)</t>
        </is>
      </c>
      <c r="C26" s="69" t="n">
        <v>3</v>
      </c>
      <c r="D26" s="69" t="n">
        <v>3</v>
      </c>
    </row>
    <row r="27">
      <c r="A27" s="70" t="n"/>
      <c r="B27" s="71" t="inlineStr">
        <is>
          <t>LANE B TOTAL (w/ Treble)</t>
        </is>
      </c>
      <c r="C27" s="72">
        <f>C25*C26</f>
        <v/>
      </c>
      <c r="D27" s="72">
        <f>D25*D26</f>
        <v/>
      </c>
      <c r="E27" s="70" t="n"/>
      <c r="F27" s="70" t="n"/>
      <c r="G27" s="70" t="n"/>
      <c r="H27" s="70" t="n"/>
    </row>
    <row r="29">
      <c r="A29" s="73" t="inlineStr">
        <is>
          <t xml:space="preserve">  LANE D — PPO (Protection Order Abuse)</t>
        </is>
      </c>
      <c r="B29" s="4" t="n"/>
      <c r="C29" s="4" t="n"/>
      <c r="D29" s="4" t="n"/>
      <c r="E29" s="4" t="n"/>
      <c r="F29" s="4" t="n"/>
      <c r="G29" s="4" t="n"/>
      <c r="H29" s="5" t="n"/>
    </row>
    <row r="30">
      <c r="A30" s="11" t="inlineStr"/>
      <c r="B30" s="11" t="inlineStr">
        <is>
          <t>Component</t>
        </is>
      </c>
      <c r="C30" s="11" t="inlineStr">
        <is>
          <t>Low Estimate</t>
        </is>
      </c>
      <c r="D30" s="11" t="inlineStr">
        <is>
          <t>High Estimate</t>
        </is>
      </c>
      <c r="E30" s="11" t="inlineStr">
        <is>
          <t>Basis</t>
        </is>
      </c>
      <c r="F30" s="11" t="inlineStr"/>
      <c r="G30" s="11" t="inlineStr"/>
      <c r="H30" s="11" t="inlineStr"/>
    </row>
    <row r="31">
      <c r="A31" s="74" t="n">
        <v>1</v>
      </c>
      <c r="B31" s="58" t="inlineStr">
        <is>
          <t>False PPO Filing Damages</t>
        </is>
      </c>
      <c r="C31" s="59" t="n">
        <v>10000</v>
      </c>
      <c r="D31" s="59" t="n">
        <v>50000</v>
      </c>
      <c r="E31" s="60" t="inlineStr">
        <is>
          <t>PPO weaponization pattern</t>
        </is>
      </c>
      <c r="F31" s="61" t="n"/>
      <c r="G31" s="61" t="n"/>
      <c r="H31" s="61" t="n"/>
    </row>
    <row r="32">
      <c r="A32" s="74" t="n">
        <v>2</v>
      </c>
      <c r="B32" s="58" t="inlineStr">
        <is>
          <t>Emotional Distress — PPO Abuse</t>
        </is>
      </c>
      <c r="C32" s="59" t="n">
        <v>15000</v>
      </c>
      <c r="D32" s="59" t="n">
        <v>75000</v>
      </c>
      <c r="E32" s="60" t="inlineStr">
        <is>
          <t>Impact on father-child bond</t>
        </is>
      </c>
      <c r="F32" s="61" t="n"/>
      <c r="G32" s="61" t="n"/>
      <c r="H32" s="61" t="n"/>
    </row>
    <row r="33">
      <c r="A33" s="74" t="n">
        <v>3</v>
      </c>
      <c r="B33" s="58" t="inlineStr">
        <is>
          <t>Lost Employment Opportunities</t>
        </is>
      </c>
      <c r="C33" s="59" t="n">
        <v>5000</v>
      </c>
      <c r="D33" s="59" t="n">
        <v>25000</v>
      </c>
      <c r="E33" s="60" t="inlineStr">
        <is>
          <t>Background check impact</t>
        </is>
      </c>
      <c r="F33" s="61" t="n"/>
      <c r="G33" s="61" t="n"/>
      <c r="H33" s="61" t="n"/>
    </row>
    <row r="34">
      <c r="A34" s="74" t="n">
        <v>4</v>
      </c>
      <c r="B34" s="58" t="inlineStr">
        <is>
          <t>Punitive — PPO Weaponization</t>
        </is>
      </c>
      <c r="C34" s="59" t="n">
        <v>20000</v>
      </c>
      <c r="D34" s="59" t="n">
        <v>100000</v>
      </c>
      <c r="E34" s="60" t="inlineStr">
        <is>
          <t>9 investigations = 0 findings</t>
        </is>
      </c>
      <c r="F34" s="61" t="n"/>
      <c r="G34" s="61" t="n"/>
      <c r="H34" s="61" t="n"/>
    </row>
    <row r="35">
      <c r="A35" s="75" t="n"/>
      <c r="B35" s="76" t="inlineStr">
        <is>
          <t>LANE D TOTAL</t>
        </is>
      </c>
      <c r="C35" s="77">
        <f>SUM(C31:C34)</f>
        <v/>
      </c>
      <c r="D35" s="77">
        <f>SUM(D31:D34)</f>
        <v/>
      </c>
      <c r="E35" s="75" t="n"/>
      <c r="F35" s="75" t="n"/>
      <c r="G35" s="75" t="n"/>
      <c r="H35" s="75" t="n"/>
    </row>
    <row r="37">
      <c r="A37" s="78" t="inlineStr">
        <is>
          <t xml:space="preserve">  LANE E — JUDICIAL MISCONDUCT (McNeill / §1983)</t>
        </is>
      </c>
      <c r="B37" s="4" t="n"/>
      <c r="C37" s="4" t="n"/>
      <c r="D37" s="4" t="n"/>
      <c r="E37" s="4" t="n"/>
      <c r="F37" s="4" t="n"/>
      <c r="G37" s="4" t="n"/>
      <c r="H37" s="5" t="n"/>
    </row>
    <row r="38">
      <c r="A38" s="11" t="inlineStr"/>
      <c r="B38" s="11" t="inlineStr">
        <is>
          <t>Component</t>
        </is>
      </c>
      <c r="C38" s="11" t="inlineStr">
        <is>
          <t>Low Estimate</t>
        </is>
      </c>
      <c r="D38" s="11" t="inlineStr">
        <is>
          <t>High Estimate</t>
        </is>
      </c>
      <c r="E38" s="11" t="inlineStr">
        <is>
          <t>Basis</t>
        </is>
      </c>
      <c r="F38" s="11" t="inlineStr"/>
      <c r="G38" s="11" t="inlineStr"/>
      <c r="H38" s="11" t="inlineStr"/>
    </row>
    <row r="39">
      <c r="A39" s="79" t="n">
        <v>1</v>
      </c>
      <c r="B39" s="58" t="inlineStr">
        <is>
          <t>Due Process Violations (§1983)</t>
        </is>
      </c>
      <c r="C39" s="59" t="n">
        <v>50000</v>
      </c>
      <c r="D39" s="59" t="n">
        <v>500000</v>
      </c>
      <c r="E39" s="60" t="inlineStr">
        <is>
          <t>1,127 violations, 24 ex parte</t>
        </is>
      </c>
      <c r="F39" s="61" t="n"/>
      <c r="G39" s="61" t="n"/>
      <c r="H39" s="61" t="n"/>
    </row>
    <row r="40">
      <c r="A40" s="79" t="n">
        <v>2</v>
      </c>
      <c r="B40" s="58" t="inlineStr">
        <is>
          <t>Equal Protection Violations</t>
        </is>
      </c>
      <c r="C40" s="59" t="n">
        <v>25000</v>
      </c>
      <c r="D40" s="59" t="n">
        <v>250000</v>
      </c>
      <c r="E40" s="60" t="inlineStr">
        <is>
          <t>Discriminatory pattern</t>
        </is>
      </c>
      <c r="F40" s="61" t="n"/>
      <c r="G40" s="61" t="n"/>
      <c r="H40" s="61" t="n"/>
    </row>
    <row r="41">
      <c r="A41" s="79" t="n">
        <v>3</v>
      </c>
      <c r="B41" s="58" t="inlineStr">
        <is>
          <t>First Amendment Retaliation</t>
        </is>
      </c>
      <c r="C41" s="59" t="n">
        <v>25000</v>
      </c>
      <c r="D41" s="59" t="n">
        <v>200000</v>
      </c>
      <c r="E41" s="60" t="inlineStr">
        <is>
          <t>Filing retaliation pattern</t>
        </is>
      </c>
      <c r="F41" s="61" t="n"/>
      <c r="G41" s="61" t="n"/>
      <c r="H41" s="61" t="n"/>
    </row>
    <row r="42">
      <c r="A42" s="79" t="n">
        <v>4</v>
      </c>
      <c r="B42" s="58" t="inlineStr">
        <is>
          <t>Supervisory Liability — County</t>
        </is>
      </c>
      <c r="C42" s="59" t="n">
        <v>25000</v>
      </c>
      <c r="D42" s="59" t="n">
        <v>250000</v>
      </c>
      <c r="E42" s="60" t="inlineStr">
        <is>
          <t>Failure to supervise</t>
        </is>
      </c>
      <c r="F42" s="61" t="n"/>
      <c r="G42" s="61" t="n"/>
      <c r="H42" s="61" t="n"/>
    </row>
    <row r="43">
      <c r="A43" s="79" t="n">
        <v>5</v>
      </c>
      <c r="B43" s="58" t="inlineStr">
        <is>
          <t>Punitive — McNeill (Malice)</t>
        </is>
      </c>
      <c r="C43" s="59" t="n">
        <v>50000</v>
      </c>
      <c r="D43" s="59" t="n">
        <v>500000</v>
      </c>
      <c r="E43" s="60" t="inlineStr">
        <is>
          <t>18.26% ex parte rate</t>
        </is>
      </c>
      <c r="F43" s="61" t="n"/>
      <c r="G43" s="61" t="n"/>
      <c r="H43" s="61" t="n"/>
    </row>
    <row r="44">
      <c r="A44" s="79" t="n">
        <v>6</v>
      </c>
      <c r="B44" s="58" t="inlineStr">
        <is>
          <t>Attorney Fees (§1988)</t>
        </is>
      </c>
      <c r="C44" s="59" t="n">
        <v>25000</v>
      </c>
      <c r="D44" s="59" t="n">
        <v>100000</v>
      </c>
      <c r="E44" s="60" t="inlineStr">
        <is>
          <t>Fee-shifting statute</t>
        </is>
      </c>
      <c r="F44" s="61" t="n"/>
      <c r="G44" s="61" t="n"/>
      <c r="H44" s="61" t="n"/>
    </row>
    <row r="45">
      <c r="A45" s="80" t="n"/>
      <c r="B45" s="81" t="inlineStr">
        <is>
          <t>LANE E TOTAL</t>
        </is>
      </c>
      <c r="C45" s="82">
        <f>SUM(C39:C44)</f>
        <v/>
      </c>
      <c r="D45" s="82">
        <f>SUM(D39:D44)</f>
        <v/>
      </c>
      <c r="E45" s="80" t="n"/>
      <c r="F45" s="80" t="n"/>
      <c r="G45" s="80" t="n"/>
      <c r="H45" s="80" t="n"/>
    </row>
    <row r="47">
      <c r="A47" s="83" t="inlineStr">
        <is>
          <t xml:space="preserve">  GRAND TOTAL — ALL LANES</t>
        </is>
      </c>
      <c r="B47" s="4" t="n"/>
      <c r="C47" s="4" t="n"/>
      <c r="D47" s="4" t="n"/>
      <c r="E47" s="4" t="n"/>
      <c r="F47" s="4" t="n"/>
      <c r="G47" s="4" t="n"/>
      <c r="H47" s="5" t="n"/>
    </row>
    <row r="48">
      <c r="A48" s="11" t="inlineStr"/>
      <c r="B48" s="11" t="inlineStr">
        <is>
          <t>Lane</t>
        </is>
      </c>
      <c r="C48" s="11" t="inlineStr">
        <is>
          <t>Low Estimate</t>
        </is>
      </c>
      <c r="D48" s="11" t="inlineStr">
        <is>
          <t>High Estimate</t>
        </is>
      </c>
      <c r="E48" s="11" t="inlineStr"/>
      <c r="F48" s="11" t="inlineStr"/>
      <c r="G48" s="11" t="inlineStr"/>
      <c r="H48" s="11" t="inlineStr"/>
    </row>
    <row r="49">
      <c r="A49" s="84" t="inlineStr">
        <is>
          <t>A</t>
        </is>
      </c>
      <c r="B49" s="85" t="inlineStr">
        <is>
          <t>Lane A</t>
        </is>
      </c>
      <c r="C49" s="86">
        <f>C13</f>
        <v/>
      </c>
      <c r="D49" s="86">
        <f>D13</f>
        <v/>
      </c>
      <c r="E49" s="61" t="n"/>
      <c r="F49" s="61" t="n"/>
      <c r="G49" s="61" t="n"/>
      <c r="H49" s="61" t="n"/>
    </row>
    <row r="50">
      <c r="A50" s="87" t="inlineStr">
        <is>
          <t>B</t>
        </is>
      </c>
      <c r="B50" s="85" t="inlineStr">
        <is>
          <t>Lane B</t>
        </is>
      </c>
      <c r="C50" s="86">
        <f>C27</f>
        <v/>
      </c>
      <c r="D50" s="86">
        <f>D27</f>
        <v/>
      </c>
      <c r="E50" s="61" t="n"/>
      <c r="F50" s="61" t="n"/>
      <c r="G50" s="61" t="n"/>
      <c r="H50" s="61" t="n"/>
    </row>
    <row r="51">
      <c r="A51" s="88" t="inlineStr">
        <is>
          <t>D</t>
        </is>
      </c>
      <c r="B51" s="85" t="inlineStr">
        <is>
          <t>Lane D</t>
        </is>
      </c>
      <c r="C51" s="86">
        <f>C35</f>
        <v/>
      </c>
      <c r="D51" s="86">
        <f>D35</f>
        <v/>
      </c>
      <c r="E51" s="61" t="n"/>
      <c r="F51" s="61" t="n"/>
      <c r="G51" s="61" t="n"/>
      <c r="H51" s="61" t="n"/>
    </row>
    <row r="52">
      <c r="A52" s="89" t="inlineStr">
        <is>
          <t>E</t>
        </is>
      </c>
      <c r="B52" s="85" t="inlineStr">
        <is>
          <t>Lane E</t>
        </is>
      </c>
      <c r="C52" s="86">
        <f>C45</f>
        <v/>
      </c>
      <c r="D52" s="86">
        <f>D45</f>
        <v/>
      </c>
      <c r="E52" s="61" t="n"/>
      <c r="F52" s="61" t="n"/>
      <c r="G52" s="61" t="n"/>
      <c r="H52" s="61" t="n"/>
    </row>
    <row r="53">
      <c r="A53" s="90" t="n"/>
      <c r="B53" s="91" t="inlineStr">
        <is>
          <t>GRAND TOTAL</t>
        </is>
      </c>
      <c r="C53" s="92">
        <f>SUM(C49:C52)</f>
        <v/>
      </c>
      <c r="D53" s="92">
        <f>SUM(D49:D52)</f>
        <v/>
      </c>
      <c r="E53" s="90" t="n"/>
      <c r="F53" s="90" t="n"/>
      <c r="G53" s="90" t="n"/>
      <c r="H53" s="90" t="n"/>
    </row>
  </sheetData>
  <mergeCells count="7">
    <mergeCell ref="A4:H4"/>
    <mergeCell ref="A15:H15"/>
    <mergeCell ref="A29:H29"/>
    <mergeCell ref="A2:H2"/>
    <mergeCell ref="A47:H47"/>
    <mergeCell ref="A1:H1"/>
    <mergeCell ref="A37:H37"/>
  </mergeCells>
  <pageMargins left="0.4" right="0.4" top="0.5" bottom="0.5" header="0.5" footer="0.5"/>
  <pageSetup orientation="landscape" paperSize="1" fitToHeight="0" fitToWidth="1"/>
  <headerFooter>
    <oddHeader>&amp;C&amp;"Aptos,Bold"&amp;8 PIGORS v. ALL ADVERSARIES — PRIVILEGED &amp; CONFIDENTIAL</oddHeader>
    <oddFooter>&amp;LLitigationOS Δ99 Ω∞&amp;RPage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Evidence Arsenal — Strength by Lane</t>
        </is>
      </c>
    </row>
    <row r="2">
      <c r="A2" s="2" t="inlineStr">
        <is>
          <t>Strength: OVERWHELMING (&gt;10K) | STRONG (&gt;1K) | ADEQUATE (&gt;100) | NEEDS WORK</t>
        </is>
      </c>
    </row>
    <row r="3">
      <c r="A3" s="11" t="inlineStr">
        <is>
          <t>Lane</t>
        </is>
      </c>
      <c r="B3" s="11" t="inlineStr">
        <is>
          <t>Name</t>
        </is>
      </c>
      <c r="C3" s="11" t="inlineStr">
        <is>
          <t>Total Evidence</t>
        </is>
      </c>
      <c r="D3" s="11" t="inlineStr">
        <is>
          <t>Quotes</t>
        </is>
      </c>
      <c r="E3" s="11" t="inlineStr">
        <is>
          <t>Violations</t>
        </is>
      </c>
      <c r="F3" s="11" t="inlineStr">
        <is>
          <t>Impeachment</t>
        </is>
      </c>
      <c r="G3" s="11" t="inlineStr">
        <is>
          <t>Key Metric</t>
        </is>
      </c>
      <c r="H3" s="11" t="inlineStr">
        <is>
          <t>Strength</t>
        </is>
      </c>
    </row>
    <row r="4">
      <c r="A4" s="93" t="inlineStr">
        <is>
          <t>A</t>
        </is>
      </c>
      <c r="B4" s="94" t="inlineStr">
        <is>
          <t>Custody</t>
        </is>
      </c>
      <c r="C4" s="95" t="n">
        <v>327679</v>
      </c>
      <c r="D4" s="95" t="n">
        <v>308704</v>
      </c>
      <c r="E4" s="95" t="n">
        <v>3804</v>
      </c>
      <c r="F4" s="95" t="n">
        <v>15171</v>
      </c>
      <c r="G4" s="94" t="inlineStr">
        <is>
          <t>91% alienation rate</t>
        </is>
      </c>
      <c r="H4" s="96">
        <f>IF(C4&gt;10000,"OVERWHELMING",IF(C4&gt;1000,"STRONG",IF(C4&gt;100,"ADEQUATE","NEEDS WORK")))</f>
        <v/>
      </c>
    </row>
    <row r="5">
      <c r="A5" s="97" t="inlineStr">
        <is>
          <t>B</t>
        </is>
      </c>
      <c r="B5" s="98" t="inlineStr">
        <is>
          <t>Housing</t>
        </is>
      </c>
      <c r="C5" s="99" t="n">
        <v>6130</v>
      </c>
      <c r="D5" s="99" t="n">
        <v>22</v>
      </c>
      <c r="E5" s="99" t="n">
        <v>22</v>
      </c>
      <c r="F5" s="99" t="n">
        <v>0</v>
      </c>
      <c r="G5" s="98" t="inlineStr">
        <is>
          <t>74% tax gap, $6,085 payments</t>
        </is>
      </c>
      <c r="H5" s="100">
        <f>IF(C5&gt;10000,"OVERWHELMING",IF(C5&gt;1000,"STRONG",IF(C5&gt;100,"ADEQUATE","NEEDS WORK")))</f>
        <v/>
      </c>
    </row>
    <row r="6">
      <c r="A6" s="101" t="inlineStr">
        <is>
          <t>C</t>
        </is>
      </c>
      <c r="B6" s="102" t="inlineStr">
        <is>
          <t>Convergence</t>
        </is>
      </c>
      <c r="C6" s="103" t="n">
        <v>5000</v>
      </c>
      <c r="D6" s="103" t="n">
        <v>1200</v>
      </c>
      <c r="E6" s="103" t="n">
        <v>500</v>
      </c>
      <c r="F6" s="103" t="n">
        <v>300</v>
      </c>
      <c r="G6" s="102" t="inlineStr">
        <is>
          <t>Cross-lane correlation</t>
        </is>
      </c>
      <c r="H6" s="104">
        <f>IF(C6&gt;10000,"OVERWHELMING",IF(C6&gt;1000,"STRONG",IF(C6&gt;100,"ADEQUATE","NEEDS WORK")))</f>
        <v/>
      </c>
    </row>
    <row r="7">
      <c r="A7" s="105" t="inlineStr">
        <is>
          <t>D</t>
        </is>
      </c>
      <c r="B7" s="106" t="inlineStr">
        <is>
          <t>PPO</t>
        </is>
      </c>
      <c r="C7" s="107" t="n">
        <v>1500</v>
      </c>
      <c r="D7" s="107" t="n">
        <v>450</v>
      </c>
      <c r="E7" s="107" t="n">
        <v>9</v>
      </c>
      <c r="F7" s="107" t="n">
        <v>120</v>
      </c>
      <c r="G7" s="106" t="inlineStr">
        <is>
          <t>9 investigations = 0 findings</t>
        </is>
      </c>
      <c r="H7" s="108">
        <f>IF(C7&gt;10000,"OVERWHELMING",IF(C7&gt;1000,"STRONG",IF(C7&gt;100,"ADEQUATE","NEEDS WORK")))</f>
        <v/>
      </c>
    </row>
    <row r="8">
      <c r="A8" s="109" t="inlineStr">
        <is>
          <t>E</t>
        </is>
      </c>
      <c r="B8" s="110" t="inlineStr">
        <is>
          <t>Misconduct</t>
        </is>
      </c>
      <c r="C8" s="111" t="n">
        <v>16322</v>
      </c>
      <c r="D8" s="111" t="n">
        <v>4800</v>
      </c>
      <c r="E8" s="111" t="n">
        <v>1127</v>
      </c>
      <c r="F8" s="111" t="n">
        <v>3500</v>
      </c>
      <c r="G8" s="110" t="inlineStr">
        <is>
          <t>18.26% ex parte rate</t>
        </is>
      </c>
      <c r="H8" s="112">
        <f>IF(C8&gt;10000,"OVERWHELMING",IF(C8&gt;1000,"STRONG",IF(C8&gt;100,"ADEQUATE","NEEDS WORK")))</f>
        <v/>
      </c>
    </row>
    <row r="9">
      <c r="A9" s="113" t="inlineStr">
        <is>
          <t>F</t>
        </is>
      </c>
      <c r="B9" s="114" t="inlineStr">
        <is>
          <t>Appellate</t>
        </is>
      </c>
      <c r="C9" s="115" t="n">
        <v>2829</v>
      </c>
      <c r="D9" s="115" t="n">
        <v>887</v>
      </c>
      <c r="E9" s="115" t="n">
        <v>200</v>
      </c>
      <c r="F9" s="115" t="n">
        <v>500</v>
      </c>
      <c r="G9" s="114" t="inlineStr">
        <is>
          <t>~1,942 pages lower court rec</t>
        </is>
      </c>
      <c r="H9" s="116">
        <f>IF(C9&gt;10000,"OVERWHELMING",IF(C9&gt;1000,"STRONG",IF(C9&gt;100,"ADEQUATE","NEEDS WORK")))</f>
        <v/>
      </c>
    </row>
    <row r="10">
      <c r="A10" s="52" t="inlineStr">
        <is>
          <t>ALL</t>
        </is>
      </c>
      <c r="B10" s="54" t="inlineStr">
        <is>
          <t>TOTAL EVIDENCE</t>
        </is>
      </c>
      <c r="C10" s="117">
        <f>SUM(C4:C9)</f>
        <v/>
      </c>
      <c r="D10" s="117">
        <f>SUM(D4:D9)</f>
        <v/>
      </c>
      <c r="E10" s="117">
        <f>SUM(E4:E9)</f>
        <v/>
      </c>
      <c r="F10" s="117">
        <f>SUM(F4:F9)</f>
        <v/>
      </c>
      <c r="G10" s="53" t="n"/>
      <c r="H10" s="53" t="n"/>
    </row>
    <row r="12">
      <c r="A12" s="3" t="inlineStr">
        <is>
          <t xml:space="preserve">  EVIDENCE HIGHLIGHTS BY LANE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18" t="inlineStr">
        <is>
          <t>A</t>
        </is>
      </c>
      <c r="B13" s="119" t="inlineStr">
        <is>
          <t>308,704 alienation quotes extracted from 125K+ files</t>
        </is>
      </c>
      <c r="C13" s="61" t="n"/>
      <c r="D13" s="61" t="n"/>
      <c r="E13" s="61" t="n"/>
      <c r="F13" s="61" t="n"/>
      <c r="G13" s="61" t="n"/>
      <c r="H13" s="61" t="n"/>
    </row>
    <row r="14">
      <c r="A14" s="118" t="inlineStr">
        <is>
          <t>A</t>
        </is>
      </c>
      <c r="B14" s="119" t="inlineStr">
        <is>
          <t>3,804 custody violations documented with timestamps</t>
        </is>
      </c>
      <c r="C14" s="61" t="n"/>
      <c r="D14" s="61" t="n"/>
      <c r="E14" s="61" t="n"/>
      <c r="F14" s="61" t="n"/>
      <c r="G14" s="61" t="n"/>
      <c r="H14" s="61" t="n"/>
    </row>
    <row r="15">
      <c r="A15" s="118" t="inlineStr">
        <is>
          <t>A</t>
        </is>
      </c>
      <c r="B15" s="119" t="inlineStr">
        <is>
          <t>15,171 impeachment items ready for cross-examination</t>
        </is>
      </c>
      <c r="C15" s="61" t="n"/>
      <c r="D15" s="61" t="n"/>
      <c r="E15" s="61" t="n"/>
      <c r="F15" s="61" t="n"/>
      <c r="G15" s="61" t="n"/>
      <c r="H15" s="61" t="n"/>
    </row>
    <row r="16">
      <c r="A16" s="120" t="inlineStr">
        <is>
          <t>B</t>
        </is>
      </c>
      <c r="B16" s="119" t="inlineStr">
        <is>
          <t>3 ledger versions proving rent manipulation</t>
        </is>
      </c>
      <c r="C16" s="61" t="n"/>
      <c r="D16" s="61" t="n"/>
      <c r="E16" s="61" t="n"/>
      <c r="F16" s="61" t="n"/>
      <c r="G16" s="61" t="n"/>
      <c r="H16" s="61" t="n"/>
    </row>
    <row r="17">
      <c r="A17" s="120" t="inlineStr">
        <is>
          <t>B</t>
        </is>
      </c>
      <c r="B17" s="119" t="inlineStr">
        <is>
          <t>$6,085 in documented overcharges with receipts</t>
        </is>
      </c>
      <c r="C17" s="61" t="n"/>
      <c r="D17" s="61" t="n"/>
      <c r="E17" s="61" t="n"/>
      <c r="F17" s="61" t="n"/>
      <c r="G17" s="61" t="n"/>
      <c r="H17" s="61" t="n"/>
    </row>
    <row r="18">
      <c r="A18" s="120" t="inlineStr">
        <is>
          <t>B</t>
        </is>
      </c>
      <c r="B18" s="119" t="inlineStr">
        <is>
          <t>74% tax gap between NJ dissolution and MI operations</t>
        </is>
      </c>
      <c r="C18" s="61" t="n"/>
      <c r="D18" s="61" t="n"/>
      <c r="E18" s="61" t="n"/>
      <c r="F18" s="61" t="n"/>
      <c r="G18" s="61" t="n"/>
      <c r="H18" s="61" t="n"/>
    </row>
    <row r="19">
      <c r="A19" s="121" t="inlineStr">
        <is>
          <t>D</t>
        </is>
      </c>
      <c r="B19" s="119" t="inlineStr">
        <is>
          <t>9 CPS/police investigations → 0 substantiated findings</t>
        </is>
      </c>
      <c r="C19" s="61" t="n"/>
      <c r="D19" s="61" t="n"/>
      <c r="E19" s="61" t="n"/>
      <c r="F19" s="61" t="n"/>
      <c r="G19" s="61" t="n"/>
      <c r="H19" s="61" t="n"/>
    </row>
    <row r="20">
      <c r="A20" s="121" t="inlineStr">
        <is>
          <t>D</t>
        </is>
      </c>
      <c r="B20" s="119" t="inlineStr">
        <is>
          <t>PPO weaponization pattern fully documented</t>
        </is>
      </c>
      <c r="C20" s="61" t="n"/>
      <c r="D20" s="61" t="n"/>
      <c r="E20" s="61" t="n"/>
      <c r="F20" s="61" t="n"/>
      <c r="G20" s="61" t="n"/>
      <c r="H20" s="61" t="n"/>
    </row>
    <row r="21">
      <c r="A21" s="122" t="inlineStr">
        <is>
          <t>E</t>
        </is>
      </c>
      <c r="B21" s="119" t="inlineStr">
        <is>
          <t>1,127 judicial violations catalogued</t>
        </is>
      </c>
      <c r="C21" s="61" t="n"/>
      <c r="D21" s="61" t="n"/>
      <c r="E21" s="61" t="n"/>
      <c r="F21" s="61" t="n"/>
      <c r="G21" s="61" t="n"/>
      <c r="H21" s="61" t="n"/>
    </row>
    <row r="22">
      <c r="A22" s="122" t="inlineStr">
        <is>
          <t>E</t>
        </is>
      </c>
      <c r="B22" s="119" t="inlineStr">
        <is>
          <t>24 ex parte orders = 18.26% ex parte rate</t>
        </is>
      </c>
      <c r="C22" s="61" t="n"/>
      <c r="D22" s="61" t="n"/>
      <c r="E22" s="61" t="n"/>
      <c r="F22" s="61" t="n"/>
      <c r="G22" s="61" t="n"/>
      <c r="H22" s="61" t="n"/>
    </row>
    <row r="23">
      <c r="A23" s="122" t="inlineStr">
        <is>
          <t>E</t>
        </is>
      </c>
      <c r="B23" s="119" t="inlineStr">
        <is>
          <t>Exposed Ronald Berry shadow legal assistance</t>
        </is>
      </c>
      <c r="C23" s="61" t="n"/>
      <c r="D23" s="61" t="n"/>
      <c r="E23" s="61" t="n"/>
      <c r="F23" s="61" t="n"/>
      <c r="G23" s="61" t="n"/>
      <c r="H23" s="61" t="n"/>
    </row>
    <row r="24">
      <c r="A24" s="123" t="inlineStr">
        <is>
          <t>F</t>
        </is>
      </c>
      <c r="B24" s="119" t="inlineStr">
        <is>
          <t>887 lower court records for appellate record</t>
        </is>
      </c>
      <c r="C24" s="61" t="n"/>
      <c r="D24" s="61" t="n"/>
      <c r="E24" s="61" t="n"/>
      <c r="F24" s="61" t="n"/>
      <c r="G24" s="61" t="n"/>
      <c r="H24" s="61" t="n"/>
    </row>
    <row r="25">
      <c r="A25" s="123" t="inlineStr">
        <is>
          <t>F</t>
        </is>
      </c>
      <c r="B25" s="119" t="inlineStr">
        <is>
          <t>~1,942 pages prepared for COA submission</t>
        </is>
      </c>
      <c r="C25" s="61" t="n"/>
      <c r="D25" s="61" t="n"/>
      <c r="E25" s="61" t="n"/>
      <c r="F25" s="61" t="n"/>
      <c r="G25" s="61" t="n"/>
      <c r="H25" s="61" t="n"/>
    </row>
  </sheetData>
  <mergeCells count="16">
    <mergeCell ref="A12:H12"/>
    <mergeCell ref="B16:G16"/>
    <mergeCell ref="B19:G19"/>
    <mergeCell ref="B20:G20"/>
    <mergeCell ref="B24:G24"/>
    <mergeCell ref="B22:G22"/>
    <mergeCell ref="B14:G14"/>
    <mergeCell ref="A2:H2"/>
    <mergeCell ref="B17:G17"/>
    <mergeCell ref="B23:G23"/>
    <mergeCell ref="B18:G18"/>
    <mergeCell ref="B13:G13"/>
    <mergeCell ref="A1:H1"/>
    <mergeCell ref="B21:G21"/>
    <mergeCell ref="B15:G15"/>
    <mergeCell ref="B25:G25"/>
  </mergeCells>
  <conditionalFormatting sqref="H4:H9">
    <cfRule type="cellIs" priority="1" operator="equal" dxfId="0">
      <formula>"OVERWHELMING"</formula>
    </cfRule>
    <cfRule type="cellIs" priority="2" operator="equal" dxfId="3">
      <formula>"STRONG"</formula>
    </cfRule>
    <cfRule type="cellIs" priority="3" operator="equal" dxfId="1">
      <formula>"ADEQUATE"</formula>
    </cfRule>
    <cfRule type="cellIs" priority="4" operator="equal" dxfId="2">
      <formula>"NEEDS WORK"</formula>
    </cfRule>
  </conditionalFormatting>
  <pageMargins left="0.4" right="0.4" top="0.5" bottom="0.5" header="0.5" footer="0.5"/>
  <pageSetup orientation="landscape" paperSize="1" fitToHeight="0" fitToWidth="1"/>
  <headerFooter>
    <oddHeader>&amp;C&amp;"Aptos,Bold"&amp;8 PIGORS v. ALL ADVERSARIES — PRIVILEGED &amp; CONFIDENTIAL</oddHeader>
    <oddFooter>&amp;LLitigationOS Δ99 Ω∞&amp;RPage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H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LitigationOS — System Health Dashboard</t>
        </is>
      </c>
    </row>
    <row r="2">
      <c r="A2" s="2" t="inlineStr">
        <is>
          <t>Δ99 Ω∞ | Local-First | Zero Network Dependencies</t>
        </is>
      </c>
    </row>
    <row r="4">
      <c r="A4" s="3" t="inlineStr">
        <is>
          <t xml:space="preserve">  CORE SYSTEM METRICS</t>
        </is>
      </c>
      <c r="B4" s="4" t="n"/>
      <c r="C4" s="4" t="n"/>
      <c r="D4" s="4" t="n"/>
      <c r="E4" s="4" t="n"/>
      <c r="F4" s="5" t="n"/>
    </row>
    <row r="5">
      <c r="A5" s="11" t="inlineStr"/>
      <c r="B5" s="11" t="inlineStr">
        <is>
          <t>Metric</t>
        </is>
      </c>
      <c r="C5" s="11" t="inlineStr">
        <is>
          <t>Value</t>
        </is>
      </c>
      <c r="D5" s="11" t="inlineStr">
        <is>
          <t>Target</t>
        </is>
      </c>
      <c r="E5" s="11" t="inlineStr">
        <is>
          <t>Status</t>
        </is>
      </c>
      <c r="F5" s="11" t="inlineStr"/>
    </row>
    <row r="6">
      <c r="A6" s="124" t="n">
        <v>1</v>
      </c>
      <c r="B6" s="125" t="inlineStr">
        <is>
          <t>Database Tables</t>
        </is>
      </c>
      <c r="C6" s="126" t="inlineStr">
        <is>
          <t>746+</t>
        </is>
      </c>
      <c r="D6" s="127" t="inlineStr">
        <is>
          <t>700+</t>
        </is>
      </c>
      <c r="E6" s="128" t="inlineStr">
        <is>
          <t>EXCEEDED</t>
        </is>
      </c>
      <c r="F6" s="129" t="n"/>
    </row>
    <row r="7">
      <c r="A7" s="130" t="n">
        <v>2</v>
      </c>
      <c r="B7" s="131" t="inlineStr">
        <is>
          <t>Database Rows</t>
        </is>
      </c>
      <c r="C7" s="132" t="inlineStr">
        <is>
          <t>18.3M</t>
        </is>
      </c>
      <c r="D7" s="133" t="inlineStr">
        <is>
          <t>15M+</t>
        </is>
      </c>
      <c r="E7" s="134" t="inlineStr">
        <is>
          <t>EXCEEDED</t>
        </is>
      </c>
      <c r="F7" s="61" t="n"/>
    </row>
    <row r="8">
      <c r="A8" s="124" t="n">
        <v>3</v>
      </c>
      <c r="B8" s="125" t="inlineStr">
        <is>
          <t>Database Size</t>
        </is>
      </c>
      <c r="C8" s="126" t="inlineStr">
        <is>
          <t>~11.6 GB</t>
        </is>
      </c>
      <c r="D8" s="127" t="inlineStr">
        <is>
          <t>10 GB+</t>
        </is>
      </c>
      <c r="E8" s="128" t="inlineStr">
        <is>
          <t>EXCEEDED</t>
        </is>
      </c>
      <c r="F8" s="129" t="n"/>
    </row>
    <row r="9">
      <c r="A9" s="130" t="n">
        <v>4</v>
      </c>
      <c r="B9" s="131" t="inlineStr">
        <is>
          <t>Agent Fleet</t>
        </is>
      </c>
      <c r="C9" s="132" t="inlineStr">
        <is>
          <t>155+</t>
        </is>
      </c>
      <c r="D9" s="133" t="inlineStr">
        <is>
          <t>150+</t>
        </is>
      </c>
      <c r="E9" s="134" t="inlineStr">
        <is>
          <t>EXCEEDED</t>
        </is>
      </c>
      <c r="F9" s="61" t="n"/>
    </row>
    <row r="10">
      <c r="A10" s="124" t="n">
        <v>5</v>
      </c>
      <c r="B10" s="125" t="inlineStr">
        <is>
          <t>Agent Accuracy</t>
        </is>
      </c>
      <c r="C10" s="126" t="inlineStr">
        <is>
          <t>98.94%</t>
        </is>
      </c>
      <c r="D10" s="127" t="inlineStr">
        <is>
          <t>95%+</t>
        </is>
      </c>
      <c r="E10" s="128" t="inlineStr">
        <is>
          <t>EXCEEDED</t>
        </is>
      </c>
      <c r="F10" s="129" t="n"/>
    </row>
    <row r="11">
      <c r="A11" s="130" t="n">
        <v>6</v>
      </c>
      <c r="B11" s="131" t="inlineStr">
        <is>
          <t>Pipeline Phases</t>
        </is>
      </c>
      <c r="C11" s="132" t="inlineStr">
        <is>
          <t>24/24</t>
        </is>
      </c>
      <c r="D11" s="133" t="inlineStr">
        <is>
          <t>24/24</t>
        </is>
      </c>
      <c r="E11" s="134" t="inlineStr">
        <is>
          <t>PASS</t>
        </is>
      </c>
      <c r="F11" s="61" t="n"/>
    </row>
    <row r="12">
      <c r="A12" s="124" t="n">
        <v>7</v>
      </c>
      <c r="B12" s="125" t="inlineStr">
        <is>
          <t>Skills Loaded</t>
        </is>
      </c>
      <c r="C12" s="126" t="inlineStr">
        <is>
          <t>63</t>
        </is>
      </c>
      <c r="D12" s="127" t="inlineStr">
        <is>
          <t>50+</t>
        </is>
      </c>
      <c r="E12" s="128" t="inlineStr">
        <is>
          <t>EXCEEDED</t>
        </is>
      </c>
      <c r="F12" s="129" t="n"/>
    </row>
    <row r="13">
      <c r="A13" s="130" t="n">
        <v>8</v>
      </c>
      <c r="B13" s="131" t="inlineStr">
        <is>
          <t>Litigation Skills</t>
        </is>
      </c>
      <c r="C13" s="132" t="inlineStr">
        <is>
          <t>27</t>
        </is>
      </c>
      <c r="D13" s="133" t="inlineStr">
        <is>
          <t>20+</t>
        </is>
      </c>
      <c r="E13" s="134" t="inlineStr">
        <is>
          <t>EXCEEDED</t>
        </is>
      </c>
      <c r="F13" s="61" t="n"/>
    </row>
    <row r="14">
      <c r="A14" s="124" t="n">
        <v>9</v>
      </c>
      <c r="B14" s="125" t="inlineStr">
        <is>
          <t>Product App Modules</t>
        </is>
      </c>
      <c r="C14" s="126" t="inlineStr">
        <is>
          <t>66</t>
        </is>
      </c>
      <c r="D14" s="127" t="inlineStr">
        <is>
          <t>60+</t>
        </is>
      </c>
      <c r="E14" s="128" t="inlineStr">
        <is>
          <t>EXCEEDED</t>
        </is>
      </c>
      <c r="F14" s="129" t="n"/>
    </row>
    <row r="15">
      <c r="A15" s="130" t="n">
        <v>10</v>
      </c>
      <c r="B15" s="131" t="inlineStr">
        <is>
          <t>Tests Passing</t>
        </is>
      </c>
      <c r="C15" s="132" t="inlineStr">
        <is>
          <t>2,857+</t>
        </is>
      </c>
      <c r="D15" s="133" t="inlineStr">
        <is>
          <t>2,500+</t>
        </is>
      </c>
      <c r="E15" s="134" t="inlineStr">
        <is>
          <t>EXCEEDED</t>
        </is>
      </c>
      <c r="F15" s="61" t="n"/>
    </row>
    <row r="16">
      <c r="A16" s="124" t="n">
        <v>11</v>
      </c>
      <c r="B16" s="125" t="inlineStr">
        <is>
          <t>Autonomous Waves</t>
        </is>
      </c>
      <c r="C16" s="126" t="inlineStr">
        <is>
          <t>12/12</t>
        </is>
      </c>
      <c r="D16" s="127" t="inlineStr">
        <is>
          <t>12/12</t>
        </is>
      </c>
      <c r="E16" s="128" t="inlineStr">
        <is>
          <t>COMPLETE</t>
        </is>
      </c>
      <c r="F16" s="129" t="n"/>
    </row>
    <row r="17">
      <c r="A17" s="130" t="n">
        <v>12</v>
      </c>
      <c r="B17" s="131" t="inlineStr">
        <is>
          <t>Files Processed</t>
        </is>
      </c>
      <c r="C17" s="132" t="inlineStr">
        <is>
          <t>46,246</t>
        </is>
      </c>
      <c r="D17" s="133" t="inlineStr">
        <is>
          <t>40K+</t>
        </is>
      </c>
      <c r="E17" s="134" t="inlineStr">
        <is>
          <t>EXCEEDED</t>
        </is>
      </c>
      <c r="F17" s="61" t="n"/>
    </row>
    <row r="19">
      <c r="A19" s="3" t="inlineStr">
        <is>
          <t xml:space="preserve">  AI ENGINE STATUS</t>
        </is>
      </c>
      <c r="B19" s="4" t="n"/>
      <c r="C19" s="4" t="n"/>
      <c r="D19" s="4" t="n"/>
      <c r="E19" s="4" t="n"/>
      <c r="F19" s="5" t="n"/>
    </row>
    <row r="20">
      <c r="A20" s="11" t="inlineStr"/>
      <c r="B20" s="11" t="inlineStr">
        <is>
          <t>Engine</t>
        </is>
      </c>
      <c r="C20" s="11" t="inlineStr">
        <is>
          <t>Type</t>
        </is>
      </c>
      <c r="D20" s="11" t="inlineStr">
        <is>
          <t>Status</t>
        </is>
      </c>
      <c r="E20" s="11" t="inlineStr">
        <is>
          <t>Notes</t>
        </is>
      </c>
      <c r="F20" s="11" t="inlineStr"/>
    </row>
    <row r="21">
      <c r="A21" s="130" t="n">
        <v>1</v>
      </c>
      <c r="B21" s="131" t="inlineStr">
        <is>
          <t>MANBEARPIG v9.0</t>
        </is>
      </c>
      <c r="C21" s="135" t="inlineStr">
        <is>
          <t>Primary Inference</t>
        </is>
      </c>
      <c r="D21" s="136" t="inlineStr">
        <is>
          <t>ONLINE</t>
        </is>
      </c>
      <c r="E21" s="137" t="inlineStr">
        <is>
          <t>TF-IDF + NB + BM25 + Embeddings</t>
        </is>
      </c>
      <c r="F21" s="61" t="n"/>
    </row>
    <row r="22">
      <c r="A22" s="130" t="n">
        <v>2</v>
      </c>
      <c r="B22" s="131" t="inlineStr">
        <is>
          <t>LocalAI Engine</t>
        </is>
      </c>
      <c r="C22" s="135" t="inlineStr">
        <is>
          <t>Pipeline Provider</t>
        </is>
      </c>
      <c r="D22" s="136" t="inlineStr">
        <is>
          <t>ONLINE</t>
        </is>
      </c>
      <c r="E22" s="137" t="inlineStr">
        <is>
          <t>TF-IDF + Pattern + Naive Bayes</t>
        </is>
      </c>
      <c r="F22" s="61" t="n"/>
    </row>
    <row r="23">
      <c r="A23" s="130" t="n">
        <v>3</v>
      </c>
      <c r="B23" s="131" t="inlineStr">
        <is>
          <t>Offline Heuristic</t>
        </is>
      </c>
      <c r="C23" s="135" t="inlineStr">
        <is>
          <t>Fallback</t>
        </is>
      </c>
      <c r="D23" s="138" t="inlineStr">
        <is>
          <t>STANDBY</t>
        </is>
      </c>
      <c r="E23" s="137" t="inlineStr">
        <is>
          <t>Regex/keyword — always available</t>
        </is>
      </c>
      <c r="F23" s="61" t="n"/>
    </row>
    <row r="24">
      <c r="A24" s="130" t="n">
        <v>4</v>
      </c>
      <c r="B24" s="131" t="inlineStr">
        <is>
          <t>Ollama/Gemini</t>
        </is>
      </c>
      <c r="C24" s="135" t="inlineStr">
        <is>
          <t>Remote Provider</t>
        </is>
      </c>
      <c r="D24" s="139" t="inlineStr">
        <is>
          <t>REMOVED</t>
        </is>
      </c>
      <c r="E24" s="137" t="inlineStr">
        <is>
          <t>Permanently disabled — local only</t>
        </is>
      </c>
      <c r="F24" s="61" t="n"/>
    </row>
    <row r="25">
      <c r="A25" s="130" t="n">
        <v>5</v>
      </c>
      <c r="B25" s="131" t="inlineStr">
        <is>
          <t>LLM Guardian</t>
        </is>
      </c>
      <c r="C25" s="135" t="inlineStr">
        <is>
          <t>Provider Chain</t>
        </is>
      </c>
      <c r="D25" s="140" t="inlineStr">
        <is>
          <t>LOCKED</t>
        </is>
      </c>
      <c r="E25" s="137" t="inlineStr">
        <is>
          <t>Empty chain — no remote reachable</t>
        </is>
      </c>
      <c r="F25" s="61" t="n"/>
    </row>
    <row r="27">
      <c r="A27" s="3" t="inlineStr">
        <is>
          <t xml:space="preserve">  PIPELINE PHASES (24/24 VALIDATED)</t>
        </is>
      </c>
      <c r="B27" s="4" t="n"/>
      <c r="C27" s="4" t="n"/>
      <c r="D27" s="4" t="n"/>
      <c r="E27" s="4" t="n"/>
      <c r="F27" s="5" t="n"/>
    </row>
    <row r="28">
      <c r="A28" s="11" t="inlineStr"/>
      <c r="B28" s="11" t="inlineStr">
        <is>
          <t>Phase</t>
        </is>
      </c>
      <c r="C28" s="11" t="inlineStr">
        <is>
          <t>Name</t>
        </is>
      </c>
      <c r="D28" s="11" t="inlineStr">
        <is>
          <t>Status</t>
        </is>
      </c>
      <c r="E28" s="11" t="inlineStr">
        <is>
          <t>Notes</t>
        </is>
      </c>
      <c r="F28" s="11" t="inlineStr"/>
    </row>
    <row r="29">
      <c r="A29" s="130" t="n"/>
      <c r="B29" s="141" t="inlineStr">
        <is>
          <t>0</t>
        </is>
      </c>
      <c r="C29" s="58" t="inlineStr">
        <is>
          <t>Safety Snapshot</t>
        </is>
      </c>
      <c r="D29" s="136" t="inlineStr">
        <is>
          <t>PASS</t>
        </is>
      </c>
      <c r="E29" s="60" t="inlineStr">
        <is>
          <t>SHA-256 manifest + backup</t>
        </is>
      </c>
      <c r="F29" s="61" t="n"/>
    </row>
    <row r="30">
      <c r="A30" s="124" t="n"/>
      <c r="B30" s="142" t="inlineStr">
        <is>
          <t>1</t>
        </is>
      </c>
      <c r="C30" s="143" t="inlineStr">
        <is>
          <t>Inventory</t>
        </is>
      </c>
      <c r="D30" s="144" t="inlineStr">
        <is>
          <t>PASS</t>
        </is>
      </c>
      <c r="E30" s="145" t="inlineStr">
        <is>
          <t>Multi-drive scan complete</t>
        </is>
      </c>
      <c r="F30" s="129" t="n"/>
    </row>
    <row r="31">
      <c r="A31" s="130" t="n"/>
      <c r="B31" s="141" t="inlineStr">
        <is>
          <t>2</t>
        </is>
      </c>
      <c r="C31" s="58" t="inlineStr">
        <is>
          <t>Dedup</t>
        </is>
      </c>
      <c r="D31" s="136" t="inlineStr">
        <is>
          <t>PASS</t>
        </is>
      </c>
      <c r="E31" s="60" t="inlineStr">
        <is>
          <t>Content-based dedup</t>
        </is>
      </c>
      <c r="F31" s="61" t="n"/>
    </row>
    <row r="32">
      <c r="A32" s="124" t="n"/>
      <c r="B32" s="142" t="inlineStr">
        <is>
          <t>3</t>
        </is>
      </c>
      <c r="C32" s="143" t="inlineStr">
        <is>
          <t>Classify</t>
        </is>
      </c>
      <c r="D32" s="144" t="inlineStr">
        <is>
          <t>PASS</t>
        </is>
      </c>
      <c r="E32" s="145" t="inlineStr">
        <is>
          <t>MEEK lane assignment</t>
        </is>
      </c>
      <c r="F32" s="129" t="n"/>
    </row>
    <row r="33">
      <c r="A33" s="130" t="n"/>
      <c r="B33" s="141" t="inlineStr">
        <is>
          <t>4a</t>
        </is>
      </c>
      <c r="C33" s="58" t="inlineStr">
        <is>
          <t>Extract PDF</t>
        </is>
      </c>
      <c r="D33" s="136" t="inlineStr">
        <is>
          <t>PASS</t>
        </is>
      </c>
      <c r="E33" s="60" t="inlineStr">
        <is>
          <t>PyMuPDF extraction</t>
        </is>
      </c>
      <c r="F33" s="61" t="n"/>
    </row>
    <row r="34">
      <c r="A34" s="124" t="n"/>
      <c r="B34" s="142" t="inlineStr">
        <is>
          <t>4b</t>
        </is>
      </c>
      <c r="C34" s="143" t="inlineStr">
        <is>
          <t>Extract DOCX</t>
        </is>
      </c>
      <c r="D34" s="144" t="inlineStr">
        <is>
          <t>PASS</t>
        </is>
      </c>
      <c r="E34" s="145" t="inlineStr">
        <is>
          <t>python-docx extraction</t>
        </is>
      </c>
      <c r="F34" s="129" t="n"/>
    </row>
    <row r="35">
      <c r="A35" s="130" t="n"/>
      <c r="B35" s="141" t="inlineStr">
        <is>
          <t>4c</t>
        </is>
      </c>
      <c r="C35" s="58" t="inlineStr">
        <is>
          <t>Extract Structured</t>
        </is>
      </c>
      <c r="D35" s="136" t="inlineStr">
        <is>
          <t>PASS</t>
        </is>
      </c>
      <c r="E35" s="60" t="inlineStr">
        <is>
          <t>JSON/CSV/DB extraction</t>
        </is>
      </c>
      <c r="F35" s="61" t="n"/>
    </row>
    <row r="36">
      <c r="A36" s="124" t="n"/>
      <c r="B36" s="142" t="inlineStr">
        <is>
          <t>4d</t>
        </is>
      </c>
      <c r="C36" s="143" t="inlineStr">
        <is>
          <t>Atomize</t>
        </is>
      </c>
      <c r="D36" s="144" t="inlineStr">
        <is>
          <t>PASS</t>
        </is>
      </c>
      <c r="E36" s="145" t="inlineStr">
        <is>
          <t>Instruction atomization</t>
        </is>
      </c>
      <c r="F36" s="129" t="n"/>
    </row>
    <row r="37">
      <c r="A37" s="130" t="n"/>
      <c r="B37" s="141" t="inlineStr">
        <is>
          <t>4e</t>
        </is>
      </c>
      <c r="C37" s="58" t="inlineStr">
        <is>
          <t>Archive Extract</t>
        </is>
      </c>
      <c r="D37" s="136" t="inlineStr">
        <is>
          <t>PASS</t>
        </is>
      </c>
      <c r="E37" s="60" t="inlineStr">
        <is>
          <t>ZIP/archive processing</t>
        </is>
      </c>
      <c r="F37" s="61" t="n"/>
    </row>
    <row r="38">
      <c r="A38" s="124" t="n"/>
      <c r="B38" s="142" t="inlineStr">
        <is>
          <t>5</t>
        </is>
      </c>
      <c r="C38" s="143" t="inlineStr">
        <is>
          <t>LEXOS Brain Feed</t>
        </is>
      </c>
      <c r="D38" s="144" t="inlineStr">
        <is>
          <t>PASS</t>
        </is>
      </c>
      <c r="E38" s="145" t="inlineStr">
        <is>
          <t>50 micro-brains, 8 cats</t>
        </is>
      </c>
      <c r="F38" s="129" t="n"/>
    </row>
    <row r="39">
      <c r="A39" s="130" t="n"/>
      <c r="B39" s="141" t="inlineStr">
        <is>
          <t>6</t>
        </is>
      </c>
      <c r="C39" s="58" t="inlineStr">
        <is>
          <t>Gap Analysis</t>
        </is>
      </c>
      <c r="D39" s="136" t="inlineStr">
        <is>
          <t>PASS</t>
        </is>
      </c>
      <c r="E39" s="60" t="inlineStr">
        <is>
          <t>EGCP scoring</t>
        </is>
      </c>
      <c r="F39" s="61" t="n"/>
    </row>
    <row r="40">
      <c r="A40" s="124" t="n"/>
      <c r="B40" s="142" t="inlineStr">
        <is>
          <t>7a</t>
        </is>
      </c>
      <c r="C40" s="143" t="inlineStr">
        <is>
          <t>Graph Delta</t>
        </is>
      </c>
      <c r="D40" s="144" t="inlineStr">
        <is>
          <t>PASS</t>
        </is>
      </c>
      <c r="E40" s="145" t="inlineStr">
        <is>
          <t>Knowledge graph build</t>
        </is>
      </c>
      <c r="F40" s="129" t="n"/>
    </row>
    <row r="41">
      <c r="A41" s="130" t="n"/>
      <c r="B41" s="141" t="inlineStr">
        <is>
          <t>7b</t>
        </is>
      </c>
      <c r="C41" s="58" t="inlineStr">
        <is>
          <t>Synthesis Merge</t>
        </is>
      </c>
      <c r="D41" s="136" t="inlineStr">
        <is>
          <t>PASS</t>
        </is>
      </c>
      <c r="E41" s="60" t="inlineStr">
        <is>
          <t>Multi-source merge</t>
        </is>
      </c>
      <c r="F41" s="61" t="n"/>
    </row>
    <row r="42">
      <c r="A42" s="124" t="n"/>
      <c r="B42" s="142" t="inlineStr">
        <is>
          <t>7c</t>
        </is>
      </c>
      <c r="C42" s="143" t="inlineStr">
        <is>
          <t>Knowledge Merge</t>
        </is>
      </c>
      <c r="D42" s="144" t="inlineStr">
        <is>
          <t>PASS</t>
        </is>
      </c>
      <c r="E42" s="145" t="inlineStr">
        <is>
          <t>Final knowledge merge</t>
        </is>
      </c>
      <c r="F42" s="129" t="n"/>
    </row>
    <row r="43">
      <c r="A43" s="130" t="n"/>
      <c r="B43" s="141" t="inlineStr">
        <is>
          <t>8</t>
        </is>
      </c>
      <c r="C43" s="58" t="inlineStr">
        <is>
          <t>Litigation Refresh</t>
        </is>
      </c>
      <c r="D43" s="136" t="inlineStr">
        <is>
          <t>PASS</t>
        </is>
      </c>
      <c r="E43" s="60" t="inlineStr">
        <is>
          <t>DB refresh cycle</t>
        </is>
      </c>
      <c r="F43" s="61" t="n"/>
    </row>
    <row r="44">
      <c r="A44" s="124" t="n"/>
      <c r="B44" s="142" t="inlineStr">
        <is>
          <t>9</t>
        </is>
      </c>
      <c r="C44" s="143" t="inlineStr">
        <is>
          <t>MCP Ingest</t>
        </is>
      </c>
      <c r="D44" s="144" t="inlineStr">
        <is>
          <t>PASS</t>
        </is>
      </c>
      <c r="E44" s="145" t="inlineStr">
        <is>
          <t>MCP server v2 ingest</t>
        </is>
      </c>
      <c r="F44" s="129" t="n"/>
    </row>
    <row r="45">
      <c r="A45" s="130" t="n"/>
      <c r="B45" s="141" t="inlineStr">
        <is>
          <t>10</t>
        </is>
      </c>
      <c r="C45" s="58" t="inlineStr">
        <is>
          <t>Judicial Analysis</t>
        </is>
      </c>
      <c r="D45" s="136" t="inlineStr">
        <is>
          <t>PASS</t>
        </is>
      </c>
      <c r="E45" s="60" t="inlineStr">
        <is>
          <t>Bias/misconduct analysis</t>
        </is>
      </c>
      <c r="F45" s="61" t="n"/>
    </row>
    <row r="46">
      <c r="A46" s="124" t="n"/>
      <c r="B46" s="142" t="inlineStr">
        <is>
          <t>11</t>
        </is>
      </c>
      <c r="C46" s="143" t="inlineStr">
        <is>
          <t>Legal Action Disc.</t>
        </is>
      </c>
      <c r="D46" s="144" t="inlineStr">
        <is>
          <t>PASS</t>
        </is>
      </c>
      <c r="E46" s="145" t="inlineStr">
        <is>
          <t>Action identification</t>
        </is>
      </c>
      <c r="F46" s="129" t="n"/>
    </row>
    <row r="47">
      <c r="A47" s="130" t="n"/>
      <c r="B47" s="141" t="inlineStr">
        <is>
          <t>12</t>
        </is>
      </c>
      <c r="C47" s="58" t="inlineStr">
        <is>
          <t>Rule Audit</t>
        </is>
      </c>
      <c r="D47" s="136" t="inlineStr">
        <is>
          <t>PASS</t>
        </is>
      </c>
      <c r="E47" s="60" t="inlineStr">
        <is>
          <t>MCR compliance check</t>
        </is>
      </c>
      <c r="F47" s="61" t="n"/>
    </row>
    <row r="48">
      <c r="A48" s="124" t="n"/>
      <c r="B48" s="142" t="inlineStr">
        <is>
          <t>13</t>
        </is>
      </c>
      <c r="C48" s="143" t="inlineStr">
        <is>
          <t>Refinement</t>
        </is>
      </c>
      <c r="D48" s="144" t="inlineStr">
        <is>
          <t>PASS</t>
        </is>
      </c>
      <c r="E48" s="145" t="inlineStr">
        <is>
          <t>Quality refinement</t>
        </is>
      </c>
      <c r="F48" s="129" t="n"/>
    </row>
    <row r="49">
      <c r="A49" s="130" t="n"/>
      <c r="B49" s="141" t="inlineStr">
        <is>
          <t>14</t>
        </is>
      </c>
      <c r="C49" s="58" t="inlineStr">
        <is>
          <t>Finalization</t>
        </is>
      </c>
      <c r="D49" s="136" t="inlineStr">
        <is>
          <t>PASS</t>
        </is>
      </c>
      <c r="E49" s="60" t="inlineStr">
        <is>
          <t>Output finalization</t>
        </is>
      </c>
      <c r="F49" s="61" t="n"/>
    </row>
    <row r="50">
      <c r="A50" s="124" t="n"/>
      <c r="B50" s="142" t="inlineStr">
        <is>
          <t>15</t>
        </is>
      </c>
      <c r="C50" s="143" t="inlineStr">
        <is>
          <t>Validation</t>
        </is>
      </c>
      <c r="D50" s="144" t="inlineStr">
        <is>
          <t>PASS</t>
        </is>
      </c>
      <c r="E50" s="145" t="inlineStr">
        <is>
          <t>Cross-validation</t>
        </is>
      </c>
      <c r="F50" s="129" t="n"/>
    </row>
    <row r="51">
      <c r="A51" s="130" t="n"/>
      <c r="B51" s="141" t="inlineStr">
        <is>
          <t>16</t>
        </is>
      </c>
      <c r="C51" s="58" t="inlineStr">
        <is>
          <t>Desktop Offload</t>
        </is>
      </c>
      <c r="D51" s="136" t="inlineStr">
        <is>
          <t>PASS</t>
        </is>
      </c>
      <c r="E51" s="60" t="inlineStr">
        <is>
          <t>App data export</t>
        </is>
      </c>
      <c r="F51" s="61" t="n"/>
    </row>
    <row r="52">
      <c r="B52" s="9" t="inlineStr">
        <is>
          <t>Total Phases:</t>
        </is>
      </c>
      <c r="C52" s="36">
        <f>COUNTA(B29:B51)</f>
        <v/>
      </c>
      <c r="D52" s="9" t="inlineStr">
        <is>
          <t>Passing:</t>
        </is>
      </c>
      <c r="E52" s="36">
        <f>COUNTIF(D29:D51,"PASS")</f>
        <v/>
      </c>
    </row>
  </sheetData>
  <mergeCells count="5">
    <mergeCell ref="A19:F19"/>
    <mergeCell ref="A2:H2"/>
    <mergeCell ref="A1:F1"/>
    <mergeCell ref="A27:F27"/>
    <mergeCell ref="A4:F4"/>
  </mergeCells>
  <conditionalFormatting sqref="E6:E17">
    <cfRule type="cellIs" priority="1" operator="equal" dxfId="4">
      <formula>"EXCEEDED"</formula>
    </cfRule>
    <cfRule type="cellIs" priority="2" operator="equal" dxfId="4">
      <formula>"PASS"</formula>
    </cfRule>
    <cfRule type="cellIs" priority="3" operator="equal" dxfId="5">
      <formula>"COMPLETE"</formula>
    </cfRule>
  </conditionalFormatting>
  <pageMargins left="0.4" right="0.4" top="0.5" bottom="0.5" header="0.5" footer="0.5"/>
  <pageSetup orientation="landscape" paperSize="1" fitToHeight="0" fitToWidth="1"/>
  <headerFooter>
    <oddHeader>&amp;C&amp;"Aptos,Bold"&amp;8 PIGORS v. ALL ADVERSARIES — PRIVILEGED &amp; CONFIDENTIAL</oddHeader>
    <oddFooter>&amp;LLitigationOS Δ99 Ω∞&amp;RPage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2026-03-12T13:39:04Z</dcterms:created>
  <dcterms:modified xmlns:dcterms="http://purl.org/dc/terms/" xmlns:xsi="http://www.w3.org/2001/XMLSchema-instance" xsi:type="dcterms:W3CDTF">2026-03-12T13:39:04Z</dcterms:modified>
</cp:coreProperties>
</file>