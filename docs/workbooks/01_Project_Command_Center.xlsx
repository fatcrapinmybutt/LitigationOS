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Registry" sheetId="1" state="visible" r:id="rId1"/>
    <sheet xmlns:r="http://schemas.openxmlformats.org/officeDocument/2006/relationships" name="Sprint Planner" sheetId="2" state="visible" r:id="rId2"/>
    <sheet xmlns:r="http://schemas.openxmlformats.org/officeDocument/2006/relationships" name="Burndown" sheetId="3" state="visible" r:id="rId3"/>
    <sheet xmlns:r="http://schemas.openxmlformats.org/officeDocument/2006/relationships" name="Dependency Matrix" sheetId="4" state="visible" r:id="rId4"/>
    <sheet xmlns:r="http://schemas.openxmlformats.org/officeDocument/2006/relationships" name="Dashboard" sheetId="5" state="visible" r:id="rId5"/>
  </sheets>
  <definedNames>
    <definedName name="TaskStatus">'Task Registry'!$G$2:$G$44</definedName>
    <definedName name="TaskFeature">'Task Registry'!$B$2:$B$44</definedName>
    <definedName name="TaskSP">'Task Registry'!$F$2:$F$44</definedName>
    <definedName name="TaskSprint">'Task Registry'!$H$2:$H$44</definedName>
    <definedName name="ActualSP">'Sprint Planner'!$E$2:$E$10</definedName>
    <definedName name="PlannedSP">'Sprint Planner'!$D$2:$D$10</definedName>
    <definedName name="_xlnm.Print_Area" localSheetId="0">'Task Registry'!$A$1:$K$44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16">
    <font>
      <name val="Calibri"/>
      <family val="2"/>
      <color theme="1"/>
      <sz val="11"/>
      <scheme val="minor"/>
    </font>
    <font>
      <color rgb="001D4ED8"/>
      <sz val="11"/>
    </font>
    <font>
      <b val="1"/>
      <color rgb="00FFFFFF"/>
      <sz val="11"/>
    </font>
    <font>
      <color rgb="00000000"/>
      <sz val="11"/>
    </font>
    <font>
      <b val="1"/>
      <color rgb="0016A34A"/>
      <sz val="11"/>
    </font>
    <font>
      <b val="1"/>
      <sz val="11"/>
    </font>
    <font>
      <i val="1"/>
      <color rgb="0064748B"/>
      <sz val="10"/>
    </font>
    <font>
      <color rgb="0094A3B8"/>
      <sz val="11"/>
    </font>
    <font>
      <b val="1"/>
      <color rgb="002563EB"/>
      <sz val="14"/>
    </font>
    <font>
      <b val="1"/>
      <color rgb="00DC2626"/>
      <sz val="14"/>
    </font>
    <font>
      <color rgb="00DC2626"/>
      <sz val="10"/>
    </font>
    <font>
      <color rgb="002563EB"/>
      <sz val="10"/>
    </font>
    <font>
      <color rgb="0016A34A"/>
      <sz val="10"/>
    </font>
    <font>
      <b val="1"/>
      <color rgb="000F172A"/>
      <sz val="16"/>
    </font>
    <font>
      <b val="1"/>
      <color rgb="001E293B"/>
      <sz val="24"/>
    </font>
    <font>
      <b val="1"/>
      <color rgb="000F172A"/>
      <sz val="13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165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 wrapText="1"/>
    </xf>
    <xf numFmtId="166" fontId="14" fillId="4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b val="1"/>
        <color rgb="0016A34A"/>
      </font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5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18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Story</t>
        </is>
      </c>
      <c r="D1" s="1" t="inlineStr">
        <is>
          <t>Task Title</t>
        </is>
      </c>
      <c r="E1" s="1" t="inlineStr">
        <is>
          <t>Priority</t>
        </is>
      </c>
      <c r="F1" s="1" t="inlineStr">
        <is>
          <t>Story Points</t>
        </is>
      </c>
      <c r="G1" s="1" t="inlineStr">
        <is>
          <t>Status</t>
        </is>
      </c>
      <c r="H1" s="1" t="inlineStr">
        <is>
          <t>Sprint</t>
        </is>
      </c>
      <c r="I1" s="1" t="inlineStr">
        <is>
          <t>Assignee</t>
        </is>
      </c>
      <c r="J1" s="1" t="inlineStr">
        <is>
          <t>Dependencies</t>
        </is>
      </c>
      <c r="K1" s="1" t="inlineStr">
        <is>
          <t>Notes</t>
        </is>
      </c>
    </row>
    <row r="2">
      <c r="A2" s="2" t="inlineStr">
        <is>
          <t>F1-T01</t>
        </is>
      </c>
      <c r="B2" s="2" t="inlineStr">
        <is>
          <t>F1</t>
        </is>
      </c>
      <c r="C2" s="2" t="inlineStr">
        <is>
          <t>S-PDF</t>
        </is>
      </c>
      <c r="D2" s="2" t="inlineStr">
        <is>
          <t>MD→PDF Rendering Engine</t>
        </is>
      </c>
      <c r="E2" s="2" t="inlineStr">
        <is>
          <t>P0</t>
        </is>
      </c>
      <c r="F2" s="2" t="n">
        <v>5</v>
      </c>
      <c r="G2" s="2" t="inlineStr">
        <is>
          <t>Not Started</t>
        </is>
      </c>
      <c r="H2" s="2" t="inlineStr">
        <is>
          <t>Sprint 1</t>
        </is>
      </c>
      <c r="I2" s="2" t="inlineStr"/>
      <c r="J2" s="2" t="inlineStr"/>
      <c r="K2" s="2" t="inlineStr"/>
    </row>
    <row r="3">
      <c r="A3" s="3" t="inlineStr">
        <is>
          <t>F1-T02</t>
        </is>
      </c>
      <c r="B3" s="3" t="inlineStr">
        <is>
          <t>F1</t>
        </is>
      </c>
      <c r="C3" s="3" t="inlineStr">
        <is>
          <t>S-PDF</t>
        </is>
      </c>
      <c r="D3" s="3" t="inlineStr">
        <is>
          <t>Caption Generator Module</t>
        </is>
      </c>
      <c r="E3" s="3" t="inlineStr">
        <is>
          <t>P0</t>
        </is>
      </c>
      <c r="F3" s="3" t="n">
        <v>3</v>
      </c>
      <c r="G3" s="3" t="inlineStr">
        <is>
          <t>Not Started</t>
        </is>
      </c>
      <c r="H3" s="3" t="inlineStr">
        <is>
          <t>Sprint 1</t>
        </is>
      </c>
      <c r="I3" s="3" t="inlineStr"/>
      <c r="J3" s="3" t="inlineStr"/>
      <c r="K3" s="3" t="inlineStr"/>
    </row>
    <row r="4">
      <c r="A4" s="2" t="inlineStr">
        <is>
          <t>F1-T03</t>
        </is>
      </c>
      <c r="B4" s="2" t="inlineStr">
        <is>
          <t>F1</t>
        </is>
      </c>
      <c r="C4" s="2" t="inlineStr">
        <is>
          <t>S-PDF</t>
        </is>
      </c>
      <c r="D4" s="2" t="inlineStr">
        <is>
          <t>TOC / TOA Auto-Builder</t>
        </is>
      </c>
      <c r="E4" s="2" t="inlineStr">
        <is>
          <t>P0</t>
        </is>
      </c>
      <c r="F4" s="2" t="n">
        <v>5</v>
      </c>
      <c r="G4" s="2" t="inlineStr">
        <is>
          <t>Not Started</t>
        </is>
      </c>
      <c r="H4" s="2" t="inlineStr">
        <is>
          <t>Sprint 2</t>
        </is>
      </c>
      <c r="I4" s="2" t="inlineStr"/>
      <c r="J4" s="2" t="inlineStr"/>
      <c r="K4" s="2" t="inlineStr"/>
    </row>
    <row r="5">
      <c r="A5" s="3" t="inlineStr">
        <is>
          <t>F1-T04</t>
        </is>
      </c>
      <c r="B5" s="3" t="inlineStr">
        <is>
          <t>F1</t>
        </is>
      </c>
      <c r="C5" s="3" t="inlineStr">
        <is>
          <t>S-PDF</t>
        </is>
      </c>
      <c r="D5" s="3" t="inlineStr">
        <is>
          <t>Exhibit Bates Stamper</t>
        </is>
      </c>
      <c r="E5" s="3" t="inlineStr">
        <is>
          <t>P0</t>
        </is>
      </c>
      <c r="F5" s="3" t="n">
        <v>5</v>
      </c>
      <c r="G5" s="3" t="inlineStr">
        <is>
          <t>Not Started</t>
        </is>
      </c>
      <c r="H5" s="3" t="inlineStr">
        <is>
          <t>Sprint 2</t>
        </is>
      </c>
      <c r="I5" s="3" t="inlineStr"/>
      <c r="J5" s="3" t="inlineStr"/>
      <c r="K5" s="3" t="inlineStr"/>
    </row>
    <row r="6">
      <c r="A6" s="2" t="inlineStr">
        <is>
          <t>F1-T05</t>
        </is>
      </c>
      <c r="B6" s="2" t="inlineStr">
        <is>
          <t>F1</t>
        </is>
      </c>
      <c r="C6" s="2" t="inlineStr">
        <is>
          <t>S-PDF</t>
        </is>
      </c>
      <c r="D6" s="2" t="inlineStr">
        <is>
          <t>PDF/A Compliance Validator</t>
        </is>
      </c>
      <c r="E6" s="2" t="inlineStr">
        <is>
          <t>P0</t>
        </is>
      </c>
      <c r="F6" s="2" t="n">
        <v>3</v>
      </c>
      <c r="G6" s="2" t="inlineStr">
        <is>
          <t>Not Started</t>
        </is>
      </c>
      <c r="H6" s="2" t="inlineStr">
        <is>
          <t>Sprint 3</t>
        </is>
      </c>
      <c r="I6" s="2" t="inlineStr"/>
      <c r="J6" s="2" t="inlineStr"/>
      <c r="K6" s="2" t="inlineStr"/>
    </row>
    <row r="7">
      <c r="A7" s="3" t="inlineStr">
        <is>
          <t>F2-T01</t>
        </is>
      </c>
      <c r="B7" s="3" t="inlineStr">
        <is>
          <t>F2</t>
        </is>
      </c>
      <c r="C7" s="3" t="inlineStr">
        <is>
          <t>S-MBP</t>
        </is>
      </c>
      <c r="D7" s="3" t="inlineStr">
        <is>
          <t>Neural Intent Classifier</t>
        </is>
      </c>
      <c r="E7" s="3" t="inlineStr">
        <is>
          <t>P0</t>
        </is>
      </c>
      <c r="F7" s="3" t="n">
        <v>8</v>
      </c>
      <c r="G7" s="3" t="inlineStr">
        <is>
          <t>Not Started</t>
        </is>
      </c>
      <c r="H7" s="3" t="inlineStr">
        <is>
          <t>Sprint 2</t>
        </is>
      </c>
      <c r="I7" s="3" t="inlineStr"/>
      <c r="J7" s="3" t="inlineStr"/>
      <c r="K7" s="3" t="inlineStr"/>
    </row>
    <row r="8">
      <c r="A8" s="2" t="inlineStr">
        <is>
          <t>F2-T02</t>
        </is>
      </c>
      <c r="B8" s="2" t="inlineStr">
        <is>
          <t>F2</t>
        </is>
      </c>
      <c r="C8" s="2" t="inlineStr">
        <is>
          <t>S-MBP</t>
        </is>
      </c>
      <c r="D8" s="2" t="inlineStr">
        <is>
          <t>Ensemble Scoring Pipeline</t>
        </is>
      </c>
      <c r="E8" s="2" t="inlineStr">
        <is>
          <t>P0</t>
        </is>
      </c>
      <c r="F8" s="2" t="n">
        <v>5</v>
      </c>
      <c r="G8" s="2" t="inlineStr">
        <is>
          <t>Not Started</t>
        </is>
      </c>
      <c r="H8" s="2" t="inlineStr">
        <is>
          <t>Sprint 3</t>
        </is>
      </c>
      <c r="I8" s="2" t="inlineStr"/>
      <c r="J8" s="2" t="inlineStr"/>
      <c r="K8" s="2" t="inlineStr"/>
    </row>
    <row r="9">
      <c r="A9" s="3" t="inlineStr">
        <is>
          <t>F2-T03</t>
        </is>
      </c>
      <c r="B9" s="3" t="inlineStr">
        <is>
          <t>F2</t>
        </is>
      </c>
      <c r="C9" s="3" t="inlineStr">
        <is>
          <t>S-MBP</t>
        </is>
      </c>
      <c r="D9" s="3" t="inlineStr">
        <is>
          <t>Self-Evolution Feedback Loop</t>
        </is>
      </c>
      <c r="E9" s="3" t="inlineStr">
        <is>
          <t>P0</t>
        </is>
      </c>
      <c r="F9" s="3" t="n">
        <v>8</v>
      </c>
      <c r="G9" s="3" t="inlineStr">
        <is>
          <t>Not Started</t>
        </is>
      </c>
      <c r="H9" s="3" t="inlineStr">
        <is>
          <t>Sprint 4</t>
        </is>
      </c>
      <c r="I9" s="3" t="inlineStr"/>
      <c r="J9" s="3" t="inlineStr"/>
      <c r="K9" s="3" t="inlineStr"/>
    </row>
    <row r="10">
      <c r="A10" s="2" t="inlineStr">
        <is>
          <t>F2-T04</t>
        </is>
      </c>
      <c r="B10" s="2" t="inlineStr">
        <is>
          <t>F2</t>
        </is>
      </c>
      <c r="C10" s="2" t="inlineStr">
        <is>
          <t>S-MBP</t>
        </is>
      </c>
      <c r="D10" s="2" t="inlineStr">
        <is>
          <t>BM25+ Retrieval Upgrade</t>
        </is>
      </c>
      <c r="E10" s="2" t="inlineStr">
        <is>
          <t>P0</t>
        </is>
      </c>
      <c r="F10" s="2" t="n">
        <v>5</v>
      </c>
      <c r="G10" s="2" t="inlineStr">
        <is>
          <t>Not Started</t>
        </is>
      </c>
      <c r="H10" s="2" t="inlineStr">
        <is>
          <t>Sprint 3</t>
        </is>
      </c>
      <c r="I10" s="2" t="inlineStr"/>
      <c r="J10" s="2" t="inlineStr"/>
      <c r="K10" s="2" t="inlineStr"/>
    </row>
    <row r="11">
      <c r="A11" s="3" t="inlineStr">
        <is>
          <t>F2-T05</t>
        </is>
      </c>
      <c r="B11" s="3" t="inlineStr">
        <is>
          <t>F2</t>
        </is>
      </c>
      <c r="C11" s="3" t="inlineStr">
        <is>
          <t>S-MBP</t>
        </is>
      </c>
      <c r="D11" s="3" t="inlineStr">
        <is>
          <t>Confidence Calibration Module</t>
        </is>
      </c>
      <c r="E11" s="3" t="inlineStr">
        <is>
          <t>P0</t>
        </is>
      </c>
      <c r="F11" s="3" t="n">
        <v>3</v>
      </c>
      <c r="G11" s="3" t="inlineStr">
        <is>
          <t>Not Started</t>
        </is>
      </c>
      <c r="H11" s="3" t="inlineStr">
        <is>
          <t>Sprint 4</t>
        </is>
      </c>
      <c r="I11" s="3" t="inlineStr"/>
      <c r="J11" s="3" t="inlineStr"/>
      <c r="K11" s="3" t="inlineStr"/>
    </row>
    <row r="12">
      <c r="A12" s="2" t="inlineStr">
        <is>
          <t>F3-T01</t>
        </is>
      </c>
      <c r="B12" s="2" t="inlineStr">
        <is>
          <t>F3</t>
        </is>
      </c>
      <c r="C12" s="2" t="inlineStr">
        <is>
          <t>S-DRV</t>
        </is>
      </c>
      <c r="D12" s="2" t="inlineStr">
        <is>
          <t>6-Drive Inventory Scanner</t>
        </is>
      </c>
      <c r="E12" s="2" t="inlineStr">
        <is>
          <t>P1</t>
        </is>
      </c>
      <c r="F12" s="2" t="n">
        <v>5</v>
      </c>
      <c r="G12" s="2" t="inlineStr">
        <is>
          <t>Not Started</t>
        </is>
      </c>
      <c r="H12" s="2" t="inlineStr">
        <is>
          <t>Sprint 1</t>
        </is>
      </c>
      <c r="I12" s="2" t="inlineStr"/>
      <c r="J12" s="2" t="inlineStr"/>
      <c r="K12" s="2" t="inlineStr"/>
    </row>
    <row r="13">
      <c r="A13" s="3" t="inlineStr">
        <is>
          <t>F3-T02</t>
        </is>
      </c>
      <c r="B13" s="3" t="inlineStr">
        <is>
          <t>F3</t>
        </is>
      </c>
      <c r="C13" s="3" t="inlineStr">
        <is>
          <t>S-DRV</t>
        </is>
      </c>
      <c r="D13" s="3" t="inlineStr">
        <is>
          <t>Global Content-Based Dedup</t>
        </is>
      </c>
      <c r="E13" s="3" t="inlineStr">
        <is>
          <t>P1</t>
        </is>
      </c>
      <c r="F13" s="3" t="n">
        <v>8</v>
      </c>
      <c r="G13" s="3" t="inlineStr">
        <is>
          <t>Not Started</t>
        </is>
      </c>
      <c r="H13" s="3" t="inlineStr">
        <is>
          <t>Sprint 2</t>
        </is>
      </c>
      <c r="I13" s="3" t="inlineStr"/>
      <c r="J13" s="3" t="inlineStr"/>
      <c r="K13" s="3" t="inlineStr"/>
    </row>
    <row r="14">
      <c r="A14" s="2" t="inlineStr">
        <is>
          <t>F3-T03</t>
        </is>
      </c>
      <c r="B14" s="2" t="inlineStr">
        <is>
          <t>F3</t>
        </is>
      </c>
      <c r="C14" s="2" t="inlineStr">
        <is>
          <t>S-DRV</t>
        </is>
      </c>
      <c r="D14" s="2" t="inlineStr">
        <is>
          <t>Content Classifier Engine</t>
        </is>
      </c>
      <c r="E14" s="2" t="inlineStr">
        <is>
          <t>P1</t>
        </is>
      </c>
      <c r="F14" s="2" t="n">
        <v>5</v>
      </c>
      <c r="G14" s="2" t="inlineStr">
        <is>
          <t>Not Started</t>
        </is>
      </c>
      <c r="H14" s="2" t="inlineStr">
        <is>
          <t>Sprint 2</t>
        </is>
      </c>
      <c r="I14" s="2" t="inlineStr"/>
      <c r="J14" s="2" t="inlineStr"/>
      <c r="K14" s="2" t="inlineStr"/>
    </row>
    <row r="15">
      <c r="A15" s="3" t="inlineStr">
        <is>
          <t>F3-T04</t>
        </is>
      </c>
      <c r="B15" s="3" t="inlineStr">
        <is>
          <t>F3</t>
        </is>
      </c>
      <c r="C15" s="3" t="inlineStr">
        <is>
          <t>S-DRV</t>
        </is>
      </c>
      <c r="D15" s="3" t="inlineStr">
        <is>
          <t>Lane-Aware File Router</t>
        </is>
      </c>
      <c r="E15" s="3" t="inlineStr">
        <is>
          <t>P1</t>
        </is>
      </c>
      <c r="F15" s="3" t="n">
        <v>5</v>
      </c>
      <c r="G15" s="3" t="inlineStr">
        <is>
          <t>Not Started</t>
        </is>
      </c>
      <c r="H15" s="3" t="inlineStr">
        <is>
          <t>Sprint 3</t>
        </is>
      </c>
      <c r="I15" s="3" t="inlineStr"/>
      <c r="J15" s="3" t="inlineStr"/>
      <c r="K15" s="3" t="inlineStr"/>
    </row>
    <row r="16">
      <c r="A16" s="2" t="inlineStr">
        <is>
          <t>F3-T05</t>
        </is>
      </c>
      <c r="B16" s="2" t="inlineStr">
        <is>
          <t>F3</t>
        </is>
      </c>
      <c r="C16" s="2" t="inlineStr">
        <is>
          <t>S-DRV</t>
        </is>
      </c>
      <c r="D16" s="2" t="inlineStr">
        <is>
          <t>Backup Manifest Generator</t>
        </is>
      </c>
      <c r="E16" s="2" t="inlineStr">
        <is>
          <t>P1</t>
        </is>
      </c>
      <c r="F16" s="2" t="n">
        <v>3</v>
      </c>
      <c r="G16" s="2" t="inlineStr">
        <is>
          <t>Not Started</t>
        </is>
      </c>
      <c r="H16" s="2" t="inlineStr">
        <is>
          <t>Sprint 3</t>
        </is>
      </c>
      <c r="I16" s="2" t="inlineStr"/>
      <c r="J16" s="2" t="inlineStr"/>
      <c r="K16" s="2" t="inlineStr"/>
    </row>
    <row r="17">
      <c r="A17" s="3" t="inlineStr">
        <is>
          <t>F4-T01</t>
        </is>
      </c>
      <c r="B17" s="3" t="inlineStr">
        <is>
          <t>F4</t>
        </is>
      </c>
      <c r="C17" s="3" t="inlineStr">
        <is>
          <t>S-SKL</t>
        </is>
      </c>
      <c r="D17" s="3" t="inlineStr">
        <is>
          <t>Skill Registry &amp; Discovery</t>
        </is>
      </c>
      <c r="E17" s="3" t="inlineStr">
        <is>
          <t>P0</t>
        </is>
      </c>
      <c r="F17" s="3" t="n">
        <v>5</v>
      </c>
      <c r="G17" s="3" t="inlineStr">
        <is>
          <t>Not Started</t>
        </is>
      </c>
      <c r="H17" s="3" t="inlineStr">
        <is>
          <t>Sprint 1</t>
        </is>
      </c>
      <c r="I17" s="3" t="inlineStr"/>
      <c r="J17" s="3" t="inlineStr"/>
      <c r="K17" s="3" t="inlineStr"/>
    </row>
    <row r="18">
      <c r="A18" s="2" t="inlineStr">
        <is>
          <t>F4-T02</t>
        </is>
      </c>
      <c r="B18" s="2" t="inlineStr">
        <is>
          <t>F4</t>
        </is>
      </c>
      <c r="C18" s="2" t="inlineStr">
        <is>
          <t>S-SKL</t>
        </is>
      </c>
      <c r="D18" s="2" t="inlineStr">
        <is>
          <t>Semantic Versioning Engine</t>
        </is>
      </c>
      <c r="E18" s="2" t="inlineStr">
        <is>
          <t>P0</t>
        </is>
      </c>
      <c r="F18" s="2" t="n">
        <v>3</v>
      </c>
      <c r="G18" s="2" t="inlineStr">
        <is>
          <t>Not Started</t>
        </is>
      </c>
      <c r="H18" s="2" t="inlineStr">
        <is>
          <t>Sprint 2</t>
        </is>
      </c>
      <c r="I18" s="2" t="inlineStr"/>
      <c r="J18" s="2" t="inlineStr"/>
      <c r="K18" s="2" t="inlineStr"/>
    </row>
    <row r="19">
      <c r="A19" s="3" t="inlineStr">
        <is>
          <t>F4-T03</t>
        </is>
      </c>
      <c r="B19" s="3" t="inlineStr">
        <is>
          <t>F4</t>
        </is>
      </c>
      <c r="C19" s="3" t="inlineStr">
        <is>
          <t>S-SKL</t>
        </is>
      </c>
      <c r="D19" s="3" t="inlineStr">
        <is>
          <t>Skill Chaining Orchestrator</t>
        </is>
      </c>
      <c r="E19" s="3" t="inlineStr">
        <is>
          <t>P0</t>
        </is>
      </c>
      <c r="F19" s="3" t="n">
        <v>8</v>
      </c>
      <c r="G19" s="3" t="inlineStr">
        <is>
          <t>Not Started</t>
        </is>
      </c>
      <c r="H19" s="3" t="inlineStr">
        <is>
          <t>Sprint 3</t>
        </is>
      </c>
      <c r="I19" s="3" t="inlineStr"/>
      <c r="J19" s="3" t="inlineStr"/>
      <c r="K19" s="3" t="inlineStr"/>
    </row>
    <row r="20">
      <c r="A20" s="2" t="inlineStr">
        <is>
          <t>F4-T04</t>
        </is>
      </c>
      <c r="B20" s="2" t="inlineStr">
        <is>
          <t>F4</t>
        </is>
      </c>
      <c r="C20" s="2" t="inlineStr">
        <is>
          <t>S-SKL</t>
        </is>
      </c>
      <c r="D20" s="2" t="inlineStr">
        <is>
          <t>Auto-Evolution Daemon</t>
        </is>
      </c>
      <c r="E20" s="2" t="inlineStr">
        <is>
          <t>P0</t>
        </is>
      </c>
      <c r="F20" s="2" t="n">
        <v>8</v>
      </c>
      <c r="G20" s="2" t="inlineStr">
        <is>
          <t>Not Started</t>
        </is>
      </c>
      <c r="H20" s="2" t="inlineStr">
        <is>
          <t>Sprint 4</t>
        </is>
      </c>
      <c r="I20" s="2" t="inlineStr"/>
      <c r="J20" s="2" t="inlineStr"/>
      <c r="K20" s="2" t="inlineStr"/>
    </row>
    <row r="21">
      <c r="A21" s="3" t="inlineStr">
        <is>
          <t>F4-T05</t>
        </is>
      </c>
      <c r="B21" s="3" t="inlineStr">
        <is>
          <t>F4</t>
        </is>
      </c>
      <c r="C21" s="3" t="inlineStr">
        <is>
          <t>S-SKL</t>
        </is>
      </c>
      <c r="D21" s="3" t="inlineStr">
        <is>
          <t>Skill Marketplace API</t>
        </is>
      </c>
      <c r="E21" s="3" t="inlineStr">
        <is>
          <t>P0</t>
        </is>
      </c>
      <c r="F21" s="3" t="n">
        <v>5</v>
      </c>
      <c r="G21" s="3" t="inlineStr">
        <is>
          <t>Not Started</t>
        </is>
      </c>
      <c r="H21" s="3" t="inlineStr">
        <is>
          <t>Sprint 5</t>
        </is>
      </c>
      <c r="I21" s="3" t="inlineStr"/>
      <c r="J21" s="3" t="inlineStr"/>
      <c r="K21" s="3" t="inlineStr"/>
    </row>
    <row r="22">
      <c r="A22" s="2" t="inlineStr">
        <is>
          <t>F4-T06</t>
        </is>
      </c>
      <c r="B22" s="2" t="inlineStr">
        <is>
          <t>F4</t>
        </is>
      </c>
      <c r="C22" s="2" t="inlineStr">
        <is>
          <t>S-SKL</t>
        </is>
      </c>
      <c r="D22" s="2" t="inlineStr">
        <is>
          <t>Dependency Resolution Graph</t>
        </is>
      </c>
      <c r="E22" s="2" t="inlineStr">
        <is>
          <t>P0</t>
        </is>
      </c>
      <c r="F22" s="2" t="n">
        <v>5</v>
      </c>
      <c r="G22" s="2" t="inlineStr">
        <is>
          <t>Not Started</t>
        </is>
      </c>
      <c r="H22" s="2" t="inlineStr">
        <is>
          <t>Sprint 3</t>
        </is>
      </c>
      <c r="I22" s="2" t="inlineStr"/>
      <c r="J22" s="2" t="inlineStr"/>
      <c r="K22" s="2" t="inlineStr"/>
    </row>
    <row r="23">
      <c r="A23" s="3" t="inlineStr">
        <is>
          <t>F5-T01</t>
        </is>
      </c>
      <c r="B23" s="3" t="inlineStr">
        <is>
          <t>F5</t>
        </is>
      </c>
      <c r="C23" s="3" t="inlineStr">
        <is>
          <t>S-FIL</t>
        </is>
      </c>
      <c r="D23" s="3" t="inlineStr">
        <is>
          <t>Auto-Assembler Engine</t>
        </is>
      </c>
      <c r="E23" s="3" t="inlineStr">
        <is>
          <t>P1</t>
        </is>
      </c>
      <c r="F23" s="3" t="n">
        <v>8</v>
      </c>
      <c r="G23" s="3" t="inlineStr">
        <is>
          <t>Not Started</t>
        </is>
      </c>
      <c r="H23" s="3" t="inlineStr">
        <is>
          <t>Sprint 3</t>
        </is>
      </c>
      <c r="I23" s="3" t="inlineStr"/>
      <c r="J23" s="3" t="inlineStr"/>
      <c r="K23" s="3" t="inlineStr"/>
    </row>
    <row r="24">
      <c r="A24" s="2" t="inlineStr">
        <is>
          <t>F5-T02</t>
        </is>
      </c>
      <c r="B24" s="2" t="inlineStr">
        <is>
          <t>F5</t>
        </is>
      </c>
      <c r="C24" s="2" t="inlineStr">
        <is>
          <t>S-FIL</t>
        </is>
      </c>
      <c r="D24" s="2" t="inlineStr">
        <is>
          <t>SCAO Form Filler</t>
        </is>
      </c>
      <c r="E24" s="2" t="inlineStr">
        <is>
          <t>P1</t>
        </is>
      </c>
      <c r="F24" s="2" t="n">
        <v>5</v>
      </c>
      <c r="G24" s="2" t="inlineStr">
        <is>
          <t>Not Started</t>
        </is>
      </c>
      <c r="H24" s="2" t="inlineStr">
        <is>
          <t>Sprint 4</t>
        </is>
      </c>
      <c r="I24" s="2" t="inlineStr"/>
      <c r="J24" s="2" t="inlineStr"/>
      <c r="K24" s="2" t="inlineStr"/>
    </row>
    <row r="25">
      <c r="A25" s="3" t="inlineStr">
        <is>
          <t>F5-T03</t>
        </is>
      </c>
      <c r="B25" s="3" t="inlineStr">
        <is>
          <t>F5</t>
        </is>
      </c>
      <c r="C25" s="3" t="inlineStr">
        <is>
          <t>S-FIL</t>
        </is>
      </c>
      <c r="D25" s="3" t="inlineStr">
        <is>
          <t>Pre-Filing QA Sweep</t>
        </is>
      </c>
      <c r="E25" s="3" t="inlineStr">
        <is>
          <t>P1</t>
        </is>
      </c>
      <c r="F25" s="3" t="n">
        <v>5</v>
      </c>
      <c r="G25" s="3" t="inlineStr">
        <is>
          <t>Not Started</t>
        </is>
      </c>
      <c r="H25" s="3" t="inlineStr">
        <is>
          <t>Sprint 4</t>
        </is>
      </c>
      <c r="I25" s="3" t="inlineStr"/>
      <c r="J25" s="3" t="inlineStr"/>
      <c r="K25" s="3" t="inlineStr"/>
    </row>
    <row r="26">
      <c r="A26" s="2" t="inlineStr">
        <is>
          <t>F5-T04</t>
        </is>
      </c>
      <c r="B26" s="2" t="inlineStr">
        <is>
          <t>F5</t>
        </is>
      </c>
      <c r="C26" s="2" t="inlineStr">
        <is>
          <t>S-FIL</t>
        </is>
      </c>
      <c r="D26" s="2" t="inlineStr">
        <is>
          <t>E-Filing Package Builder</t>
        </is>
      </c>
      <c r="E26" s="2" t="inlineStr">
        <is>
          <t>P1</t>
        </is>
      </c>
      <c r="F26" s="2" t="n">
        <v>5</v>
      </c>
      <c r="G26" s="2" t="inlineStr">
        <is>
          <t>Not Started</t>
        </is>
      </c>
      <c r="H26" s="2" t="inlineStr">
        <is>
          <t>Sprint 5</t>
        </is>
      </c>
      <c r="I26" s="2" t="inlineStr"/>
      <c r="J26" s="2" t="inlineStr"/>
      <c r="K26" s="2" t="inlineStr"/>
    </row>
    <row r="27">
      <c r="A27" s="3" t="inlineStr">
        <is>
          <t>F5-T05</t>
        </is>
      </c>
      <c r="B27" s="3" t="inlineStr">
        <is>
          <t>F5</t>
        </is>
      </c>
      <c r="C27" s="3" t="inlineStr">
        <is>
          <t>S-FIL</t>
        </is>
      </c>
      <c r="D27" s="3" t="inlineStr">
        <is>
          <t>Service Proof Tracker</t>
        </is>
      </c>
      <c r="E27" s="3" t="inlineStr">
        <is>
          <t>P1</t>
        </is>
      </c>
      <c r="F27" s="3" t="n">
        <v>3</v>
      </c>
      <c r="G27" s="3" t="inlineStr">
        <is>
          <t>Not Started</t>
        </is>
      </c>
      <c r="H27" s="3" t="inlineStr">
        <is>
          <t>Sprint 5</t>
        </is>
      </c>
      <c r="I27" s="3" t="inlineStr"/>
      <c r="J27" s="3" t="inlineStr"/>
      <c r="K27" s="3" t="inlineStr"/>
    </row>
    <row r="28">
      <c r="A28" s="2" t="inlineStr">
        <is>
          <t>F6-T01</t>
        </is>
      </c>
      <c r="B28" s="2" t="inlineStr">
        <is>
          <t>F6</t>
        </is>
      </c>
      <c r="C28" s="2" t="inlineStr">
        <is>
          <t>S-RAG</t>
        </is>
      </c>
      <c r="D28" s="2" t="inlineStr">
        <is>
          <t>Vector Store Indexer</t>
        </is>
      </c>
      <c r="E28" s="2" t="inlineStr">
        <is>
          <t>P1</t>
        </is>
      </c>
      <c r="F28" s="2" t="n">
        <v>8</v>
      </c>
      <c r="G28" s="2" t="inlineStr">
        <is>
          <t>Not Started</t>
        </is>
      </c>
      <c r="H28" s="2" t="inlineStr">
        <is>
          <t>Sprint 4</t>
        </is>
      </c>
      <c r="I28" s="2" t="inlineStr"/>
      <c r="J28" s="2" t="inlineStr"/>
      <c r="K28" s="2" t="inlineStr"/>
    </row>
    <row r="29">
      <c r="A29" s="3" t="inlineStr">
        <is>
          <t>F6-T02</t>
        </is>
      </c>
      <c r="B29" s="3" t="inlineStr">
        <is>
          <t>F6</t>
        </is>
      </c>
      <c r="C29" s="3" t="inlineStr">
        <is>
          <t>S-RAG</t>
        </is>
      </c>
      <c r="D29" s="3" t="inlineStr">
        <is>
          <t>Cross-Encoder Reranker</t>
        </is>
      </c>
      <c r="E29" s="3" t="inlineStr">
        <is>
          <t>P1</t>
        </is>
      </c>
      <c r="F29" s="3" t="n">
        <v>5</v>
      </c>
      <c r="G29" s="3" t="inlineStr">
        <is>
          <t>Not Started</t>
        </is>
      </c>
      <c r="H29" s="3" t="inlineStr">
        <is>
          <t>Sprint 5</t>
        </is>
      </c>
      <c r="I29" s="3" t="inlineStr"/>
      <c r="J29" s="3" t="inlineStr"/>
      <c r="K29" s="3" t="inlineStr"/>
    </row>
    <row r="30">
      <c r="A30" s="2" t="inlineStr">
        <is>
          <t>F6-T03</t>
        </is>
      </c>
      <c r="B30" s="2" t="inlineStr">
        <is>
          <t>F6</t>
        </is>
      </c>
      <c r="C30" s="2" t="inlineStr">
        <is>
          <t>S-RAG</t>
        </is>
      </c>
      <c r="D30" s="2" t="inlineStr">
        <is>
          <t>Knowledge Graph RAG Bridge</t>
        </is>
      </c>
      <c r="E30" s="2" t="inlineStr">
        <is>
          <t>P1</t>
        </is>
      </c>
      <c r="F30" s="2" t="n">
        <v>8</v>
      </c>
      <c r="G30" s="2" t="inlineStr">
        <is>
          <t>Not Started</t>
        </is>
      </c>
      <c r="H30" s="2" t="inlineStr">
        <is>
          <t>Sprint 5</t>
        </is>
      </c>
      <c r="I30" s="2" t="inlineStr"/>
      <c r="J30" s="2" t="inlineStr"/>
      <c r="K30" s="2" t="inlineStr"/>
    </row>
    <row r="31">
      <c r="A31" s="3" t="inlineStr">
        <is>
          <t>F6-T04</t>
        </is>
      </c>
      <c r="B31" s="3" t="inlineStr">
        <is>
          <t>F6</t>
        </is>
      </c>
      <c r="C31" s="3" t="inlineStr">
        <is>
          <t>S-RAG</t>
        </is>
      </c>
      <c r="D31" s="3" t="inlineStr">
        <is>
          <t>Hybrid Search Merger</t>
        </is>
      </c>
      <c r="E31" s="3" t="inlineStr">
        <is>
          <t>P1</t>
        </is>
      </c>
      <c r="F31" s="3" t="n">
        <v>5</v>
      </c>
      <c r="G31" s="3" t="inlineStr">
        <is>
          <t>Not Started</t>
        </is>
      </c>
      <c r="H31" s="3" t="inlineStr">
        <is>
          <t>Sprint 6</t>
        </is>
      </c>
      <c r="I31" s="3" t="inlineStr"/>
      <c r="J31" s="3" t="inlineStr"/>
      <c r="K31" s="3" t="inlineStr"/>
    </row>
    <row r="32">
      <c r="A32" s="2" t="inlineStr">
        <is>
          <t>F6-T05</t>
        </is>
      </c>
      <c r="B32" s="2" t="inlineStr">
        <is>
          <t>F6</t>
        </is>
      </c>
      <c r="C32" s="2" t="inlineStr">
        <is>
          <t>S-RAG</t>
        </is>
      </c>
      <c r="D32" s="2" t="inlineStr">
        <is>
          <t>Citation Grounding Module</t>
        </is>
      </c>
      <c r="E32" s="2" t="inlineStr">
        <is>
          <t>P1</t>
        </is>
      </c>
      <c r="F32" s="2" t="n">
        <v>5</v>
      </c>
      <c r="G32" s="2" t="inlineStr">
        <is>
          <t>Not Started</t>
        </is>
      </c>
      <c r="H32" s="2" t="inlineStr">
        <is>
          <t>Sprint 6</t>
        </is>
      </c>
      <c r="I32" s="2" t="inlineStr"/>
      <c r="J32" s="2" t="inlineStr"/>
      <c r="K32" s="2" t="inlineStr"/>
    </row>
    <row r="33">
      <c r="A33" s="3" t="inlineStr">
        <is>
          <t>F7-T01</t>
        </is>
      </c>
      <c r="B33" s="3" t="inlineStr">
        <is>
          <t>F7</t>
        </is>
      </c>
      <c r="C33" s="3" t="inlineStr">
        <is>
          <t>S-EVO</t>
        </is>
      </c>
      <c r="D33" s="3" t="inlineStr">
        <is>
          <t>Daemon Framework Core</t>
        </is>
      </c>
      <c r="E33" s="3" t="inlineStr">
        <is>
          <t>P2</t>
        </is>
      </c>
      <c r="F33" s="3" t="n">
        <v>8</v>
      </c>
      <c r="G33" s="3" t="inlineStr">
        <is>
          <t>Not Started</t>
        </is>
      </c>
      <c r="H33" s="3" t="inlineStr">
        <is>
          <t>Sprint 5</t>
        </is>
      </c>
      <c r="I33" s="3" t="inlineStr"/>
      <c r="J33" s="3" t="inlineStr"/>
      <c r="K33" s="3" t="inlineStr"/>
    </row>
    <row r="34">
      <c r="A34" s="2" t="inlineStr">
        <is>
          <t>F7-T02</t>
        </is>
      </c>
      <c r="B34" s="2" t="inlineStr">
        <is>
          <t>F7</t>
        </is>
      </c>
      <c r="C34" s="2" t="inlineStr">
        <is>
          <t>S-EVO</t>
        </is>
      </c>
      <c r="D34" s="2" t="inlineStr">
        <is>
          <t>Quality Feedback Collector</t>
        </is>
      </c>
      <c r="E34" s="2" t="inlineStr">
        <is>
          <t>P2</t>
        </is>
      </c>
      <c r="F34" s="2" t="n">
        <v>5</v>
      </c>
      <c r="G34" s="2" t="inlineStr">
        <is>
          <t>Not Started</t>
        </is>
      </c>
      <c r="H34" s="2" t="inlineStr">
        <is>
          <t>Sprint 6</t>
        </is>
      </c>
      <c r="I34" s="2" t="inlineStr"/>
      <c r="J34" s="2" t="inlineStr"/>
      <c r="K34" s="2" t="inlineStr"/>
    </row>
    <row r="35">
      <c r="A35" s="3" t="inlineStr">
        <is>
          <t>F7-T03</t>
        </is>
      </c>
      <c r="B35" s="3" t="inlineStr">
        <is>
          <t>F7</t>
        </is>
      </c>
      <c r="C35" s="3" t="inlineStr">
        <is>
          <t>S-EVO</t>
        </is>
      </c>
      <c r="D35" s="3" t="inlineStr">
        <is>
          <t>Self-Healing Error Corrector</t>
        </is>
      </c>
      <c r="E35" s="3" t="inlineStr">
        <is>
          <t>P2</t>
        </is>
      </c>
      <c r="F35" s="3" t="n">
        <v>8</v>
      </c>
      <c r="G35" s="3" t="inlineStr">
        <is>
          <t>Not Started</t>
        </is>
      </c>
      <c r="H35" s="3" t="inlineStr">
        <is>
          <t>Sprint 7</t>
        </is>
      </c>
      <c r="I35" s="3" t="inlineStr"/>
      <c r="J35" s="3" t="inlineStr"/>
      <c r="K35" s="3" t="inlineStr"/>
    </row>
    <row r="36">
      <c r="A36" s="2" t="inlineStr">
        <is>
          <t>F7-T04</t>
        </is>
      </c>
      <c r="B36" s="2" t="inlineStr">
        <is>
          <t>F7</t>
        </is>
      </c>
      <c r="C36" s="2" t="inlineStr">
        <is>
          <t>S-EVO</t>
        </is>
      </c>
      <c r="D36" s="2" t="inlineStr">
        <is>
          <t>Performance Regression Guard</t>
        </is>
      </c>
      <c r="E36" s="2" t="inlineStr">
        <is>
          <t>P2</t>
        </is>
      </c>
      <c r="F36" s="2" t="n">
        <v>5</v>
      </c>
      <c r="G36" s="2" t="inlineStr">
        <is>
          <t>Not Started</t>
        </is>
      </c>
      <c r="H36" s="2" t="inlineStr">
        <is>
          <t>Sprint 7</t>
        </is>
      </c>
      <c r="I36" s="2" t="inlineStr"/>
      <c r="J36" s="2" t="inlineStr"/>
      <c r="K36" s="2" t="inlineStr"/>
    </row>
    <row r="37">
      <c r="A37" s="3" t="inlineStr">
        <is>
          <t>F7-T05</t>
        </is>
      </c>
      <c r="B37" s="3" t="inlineStr">
        <is>
          <t>F7</t>
        </is>
      </c>
      <c r="C37" s="3" t="inlineStr">
        <is>
          <t>S-EVO</t>
        </is>
      </c>
      <c r="D37" s="3" t="inlineStr">
        <is>
          <t>Evolution Rollback Manager</t>
        </is>
      </c>
      <c r="E37" s="3" t="inlineStr">
        <is>
          <t>P2</t>
        </is>
      </c>
      <c r="F37" s="3" t="n">
        <v>5</v>
      </c>
      <c r="G37" s="3" t="inlineStr">
        <is>
          <t>Not Started</t>
        </is>
      </c>
      <c r="H37" s="3" t="inlineStr">
        <is>
          <t>Sprint 8</t>
        </is>
      </c>
      <c r="I37" s="3" t="inlineStr"/>
      <c r="J37" s="3" t="inlineStr"/>
      <c r="K37" s="3" t="inlineStr"/>
    </row>
    <row r="38">
      <c r="A38" s="2" t="inlineStr">
        <is>
          <t>F7-T06</t>
        </is>
      </c>
      <c r="B38" s="2" t="inlineStr">
        <is>
          <t>F7</t>
        </is>
      </c>
      <c r="C38" s="2" t="inlineStr">
        <is>
          <t>S-EVO</t>
        </is>
      </c>
      <c r="D38" s="2" t="inlineStr">
        <is>
          <t>Canary Deploy Pipeline</t>
        </is>
      </c>
      <c r="E38" s="2" t="inlineStr">
        <is>
          <t>P2</t>
        </is>
      </c>
      <c r="F38" s="2" t="n">
        <v>3</v>
      </c>
      <c r="G38" s="2" t="inlineStr">
        <is>
          <t>Not Started</t>
        </is>
      </c>
      <c r="H38" s="2" t="inlineStr">
        <is>
          <t>Sprint 8</t>
        </is>
      </c>
      <c r="I38" s="2" t="inlineStr"/>
      <c r="J38" s="2" t="inlineStr"/>
      <c r="K38" s="2" t="inlineStr"/>
    </row>
    <row r="39">
      <c r="A39" s="3" t="inlineStr">
        <is>
          <t>F8-T01</t>
        </is>
      </c>
      <c r="B39" s="3" t="inlineStr">
        <is>
          <t>F8</t>
        </is>
      </c>
      <c r="C39" s="3" t="inlineStr">
        <is>
          <t>S-PRD</t>
        </is>
      </c>
      <c r="D39" s="3" t="inlineStr">
        <is>
          <t>Multi-Tenant Isolation Layer</t>
        </is>
      </c>
      <c r="E39" s="3" t="inlineStr">
        <is>
          <t>P2</t>
        </is>
      </c>
      <c r="F39" s="3" t="n">
        <v>8</v>
      </c>
      <c r="G39" s="3" t="inlineStr">
        <is>
          <t>Not Started</t>
        </is>
      </c>
      <c r="H39" s="3" t="inlineStr">
        <is>
          <t>Sprint 6</t>
        </is>
      </c>
      <c r="I39" s="3" t="inlineStr"/>
      <c r="J39" s="3" t="inlineStr"/>
      <c r="K39" s="3" t="inlineStr"/>
    </row>
    <row r="40">
      <c r="A40" s="2" t="inlineStr">
        <is>
          <t>F8-T02</t>
        </is>
      </c>
      <c r="B40" s="2" t="inlineStr">
        <is>
          <t>F8</t>
        </is>
      </c>
      <c r="C40" s="2" t="inlineStr">
        <is>
          <t>S-PRD</t>
        </is>
      </c>
      <c r="D40" s="2" t="inlineStr">
        <is>
          <t>Jurisdiction Plugin Framework</t>
        </is>
      </c>
      <c r="E40" s="2" t="inlineStr">
        <is>
          <t>P2</t>
        </is>
      </c>
      <c r="F40" s="2" t="n">
        <v>8</v>
      </c>
      <c r="G40" s="2" t="inlineStr">
        <is>
          <t>Not Started</t>
        </is>
      </c>
      <c r="H40" s="2" t="inlineStr">
        <is>
          <t>Sprint 7</t>
        </is>
      </c>
      <c r="I40" s="2" t="inlineStr"/>
      <c r="J40" s="2" t="inlineStr"/>
      <c r="K40" s="2" t="inlineStr"/>
    </row>
    <row r="41">
      <c r="A41" s="3" t="inlineStr">
        <is>
          <t>F8-T03</t>
        </is>
      </c>
      <c r="B41" s="3" t="inlineStr">
        <is>
          <t>F8</t>
        </is>
      </c>
      <c r="C41" s="3" t="inlineStr">
        <is>
          <t>S-PRD</t>
        </is>
      </c>
      <c r="D41" s="3" t="inlineStr">
        <is>
          <t>Monetization Billing Engine</t>
        </is>
      </c>
      <c r="E41" s="3" t="inlineStr">
        <is>
          <t>P2</t>
        </is>
      </c>
      <c r="F41" s="3" t="n">
        <v>5</v>
      </c>
      <c r="G41" s="3" t="inlineStr">
        <is>
          <t>Not Started</t>
        </is>
      </c>
      <c r="H41" s="3" t="inlineStr">
        <is>
          <t>Sprint 8</t>
        </is>
      </c>
      <c r="I41" s="3" t="inlineStr"/>
      <c r="J41" s="3" t="inlineStr"/>
      <c r="K41" s="3" t="inlineStr"/>
    </row>
    <row r="42">
      <c r="A42" s="2" t="inlineStr">
        <is>
          <t>F8-T04</t>
        </is>
      </c>
      <c r="B42" s="2" t="inlineStr">
        <is>
          <t>F8</t>
        </is>
      </c>
      <c r="C42" s="2" t="inlineStr">
        <is>
          <t>S-PRD</t>
        </is>
      </c>
      <c r="D42" s="2" t="inlineStr">
        <is>
          <t>Onboarding Wizard UI</t>
        </is>
      </c>
      <c r="E42" s="2" t="inlineStr">
        <is>
          <t>P2</t>
        </is>
      </c>
      <c r="F42" s="2" t="n">
        <v>5</v>
      </c>
      <c r="G42" s="2" t="inlineStr">
        <is>
          <t>Not Started</t>
        </is>
      </c>
      <c r="H42" s="2" t="inlineStr">
        <is>
          <t>Sprint 8</t>
        </is>
      </c>
      <c r="I42" s="2" t="inlineStr"/>
      <c r="J42" s="2" t="inlineStr"/>
      <c r="K42" s="2" t="inlineStr"/>
    </row>
    <row r="43">
      <c r="A43" s="3" t="inlineStr">
        <is>
          <t>F8-T05</t>
        </is>
      </c>
      <c r="B43" s="3" t="inlineStr">
        <is>
          <t>F8</t>
        </is>
      </c>
      <c r="C43" s="3" t="inlineStr">
        <is>
          <t>S-PRD</t>
        </is>
      </c>
      <c r="D43" s="3" t="inlineStr">
        <is>
          <t>Usage Analytics Dashboard</t>
        </is>
      </c>
      <c r="E43" s="3" t="inlineStr">
        <is>
          <t>P2</t>
        </is>
      </c>
      <c r="F43" s="3" t="n">
        <v>3</v>
      </c>
      <c r="G43" s="3" t="inlineStr">
        <is>
          <t>Not Started</t>
        </is>
      </c>
      <c r="H43" s="3" t="inlineStr">
        <is>
          <t>Sprint 9</t>
        </is>
      </c>
      <c r="I43" s="3" t="inlineStr"/>
      <c r="J43" s="3" t="inlineStr"/>
      <c r="K43" s="3" t="inlineStr"/>
    </row>
    <row r="44">
      <c r="A44" s="2" t="inlineStr">
        <is>
          <t>F8-T06</t>
        </is>
      </c>
      <c r="B44" s="2" t="inlineStr">
        <is>
          <t>F8</t>
        </is>
      </c>
      <c r="C44" s="2" t="inlineStr">
        <is>
          <t>S-PRD</t>
        </is>
      </c>
      <c r="D44" s="2" t="inlineStr">
        <is>
          <t>License Key Manager</t>
        </is>
      </c>
      <c r="E44" s="2" t="inlineStr">
        <is>
          <t>P2</t>
        </is>
      </c>
      <c r="F44" s="2" t="n">
        <v>3</v>
      </c>
      <c r="G44" s="2" t="inlineStr">
        <is>
          <t>Not Started</t>
        </is>
      </c>
      <c r="H44" s="2" t="inlineStr">
        <is>
          <t>Sprint 9</t>
        </is>
      </c>
      <c r="I44" s="2" t="inlineStr"/>
      <c r="J44" s="2" t="inlineStr"/>
      <c r="K44" s="2" t="inlineStr"/>
    </row>
  </sheetData>
  <dataValidations count="2">
    <dataValidation sqref="G2:G44" showDropDown="0" showInputMessage="0" showErrorMessage="0" allowBlank="1" errorTitle="Invalid Status" error="Pick a valid status" type="list">
      <formula1>"Not Started,In Progress,Done,Blocked"</formula1>
    </dataValidation>
    <dataValidation sqref="E2:E44" showDropDown="0" showInputMessage="0" showErrorMessage="0" allowBlank="1" type="list">
      <formula1>"P0,P1,P2,P3"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30" customWidth="1" min="7" max="7"/>
    <col width="14" customWidth="1" min="8" max="8"/>
  </cols>
  <sheetData>
    <row r="1">
      <c r="A1" s="1" t="inlineStr">
        <is>
          <t>Sprint #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Planned SP</t>
        </is>
      </c>
      <c r="E1" s="1" t="inlineStr">
        <is>
          <t>Actual SP</t>
        </is>
      </c>
      <c r="F1" s="1" t="inlineStr">
        <is>
          <t>Velocity</t>
        </is>
      </c>
      <c r="G1" s="1" t="inlineStr">
        <is>
          <t>Features in Sprint</t>
        </is>
      </c>
      <c r="H1" s="1" t="inlineStr">
        <is>
          <t>Completion %</t>
        </is>
      </c>
    </row>
    <row r="2">
      <c r="A2" s="2" t="n">
        <v>1</v>
      </c>
      <c r="B2" s="4" t="n">
        <v>45852</v>
      </c>
      <c r="C2" s="4" t="n">
        <v>45865</v>
      </c>
      <c r="D2" s="2" t="n">
        <v>18</v>
      </c>
      <c r="E2" s="2" t="n">
        <v>0</v>
      </c>
      <c r="F2" s="5">
        <f>E2</f>
        <v/>
      </c>
      <c r="G2" s="2" t="inlineStr">
        <is>
          <t>F1, F3, F4</t>
        </is>
      </c>
      <c r="H2" s="6">
        <f>IF(D2=0,0,E2/D2)</f>
        <v/>
      </c>
    </row>
    <row r="3">
      <c r="A3" s="3" t="n">
        <v>2</v>
      </c>
      <c r="B3" s="7" t="n">
        <v>45866</v>
      </c>
      <c r="C3" s="7" t="n">
        <v>45879</v>
      </c>
      <c r="D3" s="3" t="n">
        <v>34</v>
      </c>
      <c r="E3" s="3" t="n">
        <v>0</v>
      </c>
      <c r="F3" s="8">
        <f>E3</f>
        <v/>
      </c>
      <c r="G3" s="3" t="inlineStr">
        <is>
          <t>F1, F2, F3, F4</t>
        </is>
      </c>
      <c r="H3" s="9">
        <f>IF(D3=0,0,E3/D3)</f>
        <v/>
      </c>
    </row>
    <row r="4">
      <c r="A4" s="2" t="n">
        <v>3</v>
      </c>
      <c r="B4" s="4" t="n">
        <v>45880</v>
      </c>
      <c r="C4" s="4" t="n">
        <v>45893</v>
      </c>
      <c r="D4" s="2" t="n">
        <v>42</v>
      </c>
      <c r="E4" s="2" t="n">
        <v>0</v>
      </c>
      <c r="F4" s="5">
        <f>E4</f>
        <v/>
      </c>
      <c r="G4" s="2" t="inlineStr">
        <is>
          <t>F1, F2, F3, F4, F5</t>
        </is>
      </c>
      <c r="H4" s="6">
        <f>IF(D4=0,0,E4/D4)</f>
        <v/>
      </c>
    </row>
    <row r="5">
      <c r="A5" s="3" t="n">
        <v>4</v>
      </c>
      <c r="B5" s="7" t="n">
        <v>45894</v>
      </c>
      <c r="C5" s="7" t="n">
        <v>45907</v>
      </c>
      <c r="D5" s="3" t="n">
        <v>37</v>
      </c>
      <c r="E5" s="3" t="n">
        <v>0</v>
      </c>
      <c r="F5" s="8">
        <f>E5</f>
        <v/>
      </c>
      <c r="G5" s="3" t="inlineStr">
        <is>
          <t>F2, F4, F5, F6</t>
        </is>
      </c>
      <c r="H5" s="9">
        <f>IF(D5=0,0,E5/D5)</f>
        <v/>
      </c>
    </row>
    <row r="6">
      <c r="A6" s="2" t="n">
        <v>5</v>
      </c>
      <c r="B6" s="4" t="n">
        <v>45908</v>
      </c>
      <c r="C6" s="4" t="n">
        <v>45921</v>
      </c>
      <c r="D6" s="2" t="n">
        <v>34</v>
      </c>
      <c r="E6" s="2" t="n">
        <v>0</v>
      </c>
      <c r="F6" s="5">
        <f>E6</f>
        <v/>
      </c>
      <c r="G6" s="2" t="inlineStr">
        <is>
          <t>F4, F5, F6, F7</t>
        </is>
      </c>
      <c r="H6" s="6">
        <f>IF(D6=0,0,E6/D6)</f>
        <v/>
      </c>
    </row>
    <row r="7">
      <c r="A7" s="3" t="n">
        <v>6</v>
      </c>
      <c r="B7" s="7" t="n">
        <v>45922</v>
      </c>
      <c r="C7" s="7" t="n">
        <v>45935</v>
      </c>
      <c r="D7" s="3" t="n">
        <v>23</v>
      </c>
      <c r="E7" s="3" t="n">
        <v>0</v>
      </c>
      <c r="F7" s="8">
        <f>E7</f>
        <v/>
      </c>
      <c r="G7" s="3" t="inlineStr">
        <is>
          <t>F6, F7, F8</t>
        </is>
      </c>
      <c r="H7" s="9">
        <f>IF(D7=0,0,E7/D7)</f>
        <v/>
      </c>
    </row>
    <row r="8">
      <c r="A8" s="2" t="n">
        <v>7</v>
      </c>
      <c r="B8" s="4" t="n">
        <v>45936</v>
      </c>
      <c r="C8" s="4" t="n">
        <v>45949</v>
      </c>
      <c r="D8" s="2" t="n">
        <v>21</v>
      </c>
      <c r="E8" s="2" t="n">
        <v>0</v>
      </c>
      <c r="F8" s="5">
        <f>E8</f>
        <v/>
      </c>
      <c r="G8" s="2" t="inlineStr">
        <is>
          <t>F7, F8</t>
        </is>
      </c>
      <c r="H8" s="6">
        <f>IF(D8=0,0,E8/D8)</f>
        <v/>
      </c>
    </row>
    <row r="9">
      <c r="A9" s="3" t="n">
        <v>8</v>
      </c>
      <c r="B9" s="7" t="n">
        <v>45950</v>
      </c>
      <c r="C9" s="7" t="n">
        <v>45963</v>
      </c>
      <c r="D9" s="3" t="n">
        <v>18</v>
      </c>
      <c r="E9" s="3" t="n">
        <v>0</v>
      </c>
      <c r="F9" s="8">
        <f>E9</f>
        <v/>
      </c>
      <c r="G9" s="3" t="inlineStr">
        <is>
          <t>F7, F8</t>
        </is>
      </c>
      <c r="H9" s="9">
        <f>IF(D9=0,0,E9/D9)</f>
        <v/>
      </c>
    </row>
    <row r="10">
      <c r="A10" s="2" t="n">
        <v>9</v>
      </c>
      <c r="B10" s="4" t="n">
        <v>45964</v>
      </c>
      <c r="C10" s="4" t="n">
        <v>45977</v>
      </c>
      <c r="D10" s="2" t="n">
        <v>6</v>
      </c>
      <c r="E10" s="2" t="n">
        <v>0</v>
      </c>
      <c r="F10" s="5">
        <f>E10</f>
        <v/>
      </c>
      <c r="G10" s="2" t="inlineStr">
        <is>
          <t>F8</t>
        </is>
      </c>
      <c r="H10" s="6">
        <f>IF(D10=0,0,E10/D10)</f>
        <v/>
      </c>
    </row>
  </sheetData>
  <conditionalFormatting sqref="H2:H10">
    <cfRule type="cellIs" priority="1" operator="lessThan" dxfId="0">
      <formula>0.5</formula>
    </cfRule>
    <cfRule type="cellIs" priority="2" operator="greaterThanOrEqual" dxfId="1">
      <formula>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" t="inlineStr">
        <is>
          <t>Sprint</t>
        </is>
      </c>
      <c r="B1" s="1" t="inlineStr">
        <is>
          <t>Ideal Remaining</t>
        </is>
      </c>
      <c r="C1" s="1" t="inlineStr">
        <is>
          <t>Actual Remaining</t>
        </is>
      </c>
    </row>
    <row r="2">
      <c r="A2" s="2" t="n">
        <v>1</v>
      </c>
      <c r="B2" s="5">
        <f>ROUND(233-A2*(233/9),0)</f>
        <v/>
      </c>
      <c r="C2" s="10">
        <f>233-SUM('Sprint Planner'!$E$2:$E$2)</f>
        <v/>
      </c>
    </row>
    <row r="3">
      <c r="A3" s="3" t="n">
        <v>2</v>
      </c>
      <c r="B3" s="8">
        <f>ROUND(233-A3*(233/9),0)</f>
        <v/>
      </c>
      <c r="C3" s="11">
        <f>233-SUM('Sprint Planner'!$E$2:$E$3)</f>
        <v/>
      </c>
    </row>
    <row r="4">
      <c r="A4" s="2" t="n">
        <v>3</v>
      </c>
      <c r="B4" s="5">
        <f>ROUND(233-A4*(233/9),0)</f>
        <v/>
      </c>
      <c r="C4" s="10">
        <f>233-SUM('Sprint Planner'!$E$2:$E$4)</f>
        <v/>
      </c>
    </row>
    <row r="5">
      <c r="A5" s="3" t="n">
        <v>4</v>
      </c>
      <c r="B5" s="8">
        <f>ROUND(233-A5*(233/9),0)</f>
        <v/>
      </c>
      <c r="C5" s="11">
        <f>233-SUM('Sprint Planner'!$E$2:$E$5)</f>
        <v/>
      </c>
    </row>
    <row r="6">
      <c r="A6" s="2" t="n">
        <v>5</v>
      </c>
      <c r="B6" s="5">
        <f>ROUND(233-A6*(233/9),0)</f>
        <v/>
      </c>
      <c r="C6" s="10">
        <f>233-SUM('Sprint Planner'!$E$2:$E$6)</f>
        <v/>
      </c>
    </row>
    <row r="7">
      <c r="A7" s="3" t="n">
        <v>6</v>
      </c>
      <c r="B7" s="8">
        <f>ROUND(233-A7*(233/9),0)</f>
        <v/>
      </c>
      <c r="C7" s="11">
        <f>233-SUM('Sprint Planner'!$E$2:$E$7)</f>
        <v/>
      </c>
    </row>
    <row r="8">
      <c r="A8" s="2" t="n">
        <v>7</v>
      </c>
      <c r="B8" s="5">
        <f>ROUND(233-A8*(233/9),0)</f>
        <v/>
      </c>
      <c r="C8" s="10">
        <f>233-SUM('Sprint Planner'!$E$2:$E$8)</f>
        <v/>
      </c>
    </row>
    <row r="9">
      <c r="A9" s="3" t="n">
        <v>8</v>
      </c>
      <c r="B9" s="8">
        <f>ROUND(233-A9*(233/9),0)</f>
        <v/>
      </c>
      <c r="C9" s="11">
        <f>233-SUM('Sprint Planner'!$E$2:$E$9)</f>
        <v/>
      </c>
    </row>
    <row r="10">
      <c r="A10" s="2" t="n">
        <v>9</v>
      </c>
      <c r="B10" s="5">
        <f>ROUND(233-A10*(233/9),0)</f>
        <v/>
      </c>
      <c r="C10" s="10">
        <f>233-SUM('Sprint Planner'!$E$2:$E$10)</f>
        <v/>
      </c>
    </row>
    <row r="12">
      <c r="A12" s="12" t="inlineStr">
        <is>
          <t>📊 Chart Note:</t>
        </is>
      </c>
    </row>
    <row r="13">
      <c r="A13" s="13" t="inlineStr">
        <is>
          <t>Select A1:C10 → Insert → Line Chart to visualize burndown. Ideal = straight line, Actual = progress curve.</t>
        </is>
      </c>
    </row>
  </sheetData>
  <mergeCells count="1"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Feature ↓ \ Depends On →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  <c r="G1" s="1" t="inlineStr">
        <is>
          <t>F6</t>
        </is>
      </c>
      <c r="H1" s="1" t="inlineStr">
        <is>
          <t>F7</t>
        </is>
      </c>
      <c r="I1" s="1" t="inlineStr">
        <is>
          <t>F8</t>
        </is>
      </c>
    </row>
    <row r="2">
      <c r="A2" s="1" t="inlineStr">
        <is>
          <t>F1</t>
        </is>
      </c>
      <c r="B2" s="14" t="inlineStr">
        <is>
          <t>—</t>
        </is>
      </c>
      <c r="C2" s="15" t="inlineStr"/>
      <c r="D2" s="15" t="inlineStr"/>
      <c r="E2" s="15" t="inlineStr"/>
      <c r="F2" s="16" t="inlineStr">
        <is>
          <t>←</t>
        </is>
      </c>
      <c r="G2" s="15" t="inlineStr"/>
      <c r="H2" s="15" t="inlineStr"/>
      <c r="I2" s="15" t="inlineStr"/>
    </row>
    <row r="3">
      <c r="A3" s="1" t="inlineStr">
        <is>
          <t>F2</t>
        </is>
      </c>
      <c r="B3" s="17" t="inlineStr"/>
      <c r="C3" s="14" t="inlineStr">
        <is>
          <t>—</t>
        </is>
      </c>
      <c r="D3" s="17" t="inlineStr"/>
      <c r="E3" s="18" t="inlineStr">
        <is>
          <t>→</t>
        </is>
      </c>
      <c r="F3" s="17" t="inlineStr"/>
      <c r="G3" s="19" t="inlineStr">
        <is>
          <t>←</t>
        </is>
      </c>
      <c r="H3" s="17" t="inlineStr"/>
      <c r="I3" s="17" t="inlineStr"/>
    </row>
    <row r="4">
      <c r="A4" s="1" t="inlineStr">
        <is>
          <t>F3</t>
        </is>
      </c>
      <c r="B4" s="15" t="inlineStr"/>
      <c r="C4" s="15" t="inlineStr"/>
      <c r="D4" s="14" t="inlineStr">
        <is>
          <t>—</t>
        </is>
      </c>
      <c r="E4" s="15" t="inlineStr"/>
      <c r="F4" s="15" t="inlineStr"/>
      <c r="G4" s="15" t="inlineStr"/>
      <c r="H4" s="15" t="inlineStr"/>
      <c r="I4" s="15" t="inlineStr"/>
    </row>
    <row r="5">
      <c r="A5" s="1" t="inlineStr">
        <is>
          <t>F4</t>
        </is>
      </c>
      <c r="B5" s="17" t="inlineStr"/>
      <c r="C5" s="19" t="inlineStr">
        <is>
          <t>←</t>
        </is>
      </c>
      <c r="D5" s="17" t="inlineStr"/>
      <c r="E5" s="14" t="inlineStr">
        <is>
          <t>—</t>
        </is>
      </c>
      <c r="F5" s="17" t="inlineStr"/>
      <c r="G5" s="19" t="inlineStr">
        <is>
          <t>←</t>
        </is>
      </c>
      <c r="H5" s="17" t="inlineStr"/>
      <c r="I5" s="17" t="inlineStr"/>
    </row>
    <row r="6">
      <c r="A6" s="1" t="inlineStr">
        <is>
          <t>F5</t>
        </is>
      </c>
      <c r="B6" s="20" t="inlineStr">
        <is>
          <t>→</t>
        </is>
      </c>
      <c r="C6" s="15" t="inlineStr"/>
      <c r="D6" s="15" t="inlineStr"/>
      <c r="E6" s="15" t="inlineStr"/>
      <c r="F6" s="14" t="inlineStr">
        <is>
          <t>—</t>
        </is>
      </c>
      <c r="G6" s="15" t="inlineStr"/>
      <c r="H6" s="15" t="inlineStr"/>
      <c r="I6" s="16" t="inlineStr">
        <is>
          <t>←</t>
        </is>
      </c>
    </row>
    <row r="7">
      <c r="A7" s="1" t="inlineStr">
        <is>
          <t>F6</t>
        </is>
      </c>
      <c r="B7" s="17" t="inlineStr"/>
      <c r="C7" s="18" t="inlineStr">
        <is>
          <t>→</t>
        </is>
      </c>
      <c r="D7" s="17" t="inlineStr"/>
      <c r="E7" s="18" t="inlineStr">
        <is>
          <t>→</t>
        </is>
      </c>
      <c r="F7" s="17" t="inlineStr"/>
      <c r="G7" s="14" t="inlineStr">
        <is>
          <t>—</t>
        </is>
      </c>
      <c r="H7" s="19" t="inlineStr">
        <is>
          <t>←</t>
        </is>
      </c>
      <c r="I7" s="17" t="inlineStr"/>
    </row>
    <row r="8">
      <c r="A8" s="1" t="inlineStr">
        <is>
          <t>F7</t>
        </is>
      </c>
      <c r="B8" s="15" t="inlineStr"/>
      <c r="C8" s="15" t="inlineStr"/>
      <c r="D8" s="15" t="inlineStr"/>
      <c r="E8" s="15" t="inlineStr"/>
      <c r="F8" s="15" t="inlineStr"/>
      <c r="G8" s="20" t="inlineStr">
        <is>
          <t>→</t>
        </is>
      </c>
      <c r="H8" s="14" t="inlineStr">
        <is>
          <t>—</t>
        </is>
      </c>
      <c r="I8" s="15" t="inlineStr"/>
    </row>
    <row r="9">
      <c r="A9" s="1" t="inlineStr">
        <is>
          <t>F8</t>
        </is>
      </c>
      <c r="B9" s="17" t="inlineStr"/>
      <c r="C9" s="17" t="inlineStr"/>
      <c r="D9" s="17" t="inlineStr"/>
      <c r="E9" s="17" t="inlineStr"/>
      <c r="F9" s="18" t="inlineStr">
        <is>
          <t>→</t>
        </is>
      </c>
      <c r="G9" s="17" t="inlineStr"/>
      <c r="H9" s="17" t="inlineStr"/>
      <c r="I9" s="14" t="inlineStr">
        <is>
          <t>—</t>
        </is>
      </c>
    </row>
    <row r="12">
      <c r="A12" s="12" t="inlineStr">
        <is>
          <t>Critical Paths:</t>
        </is>
      </c>
    </row>
    <row r="13">
      <c r="A13" s="21" t="inlineStr">
        <is>
          <t>Path A: F4 → F2 → F6 → F7  (Skill Framework enables MANBEARPIG enables RAG enables Self-Evolution)</t>
        </is>
      </c>
    </row>
    <row r="14">
      <c r="A14" s="22" t="inlineStr">
        <is>
          <t>Path B: F1 → F5 → F8  (PDF Tooling enables Filing Automation enables Productization)</t>
        </is>
      </c>
    </row>
    <row r="15">
      <c r="A15" s="23" t="inlineStr">
        <is>
          <t>F3 (Drive Reorganization): Independent — can run in parallel with all paths</t>
        </is>
      </c>
    </row>
  </sheetData>
  <mergeCells count="3">
    <mergeCell ref="A15:I15"/>
    <mergeCell ref="A13:I13"/>
    <mergeCell ref="A14:I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24" t="inlineStr">
        <is>
          <t>🏗️  PROJECT COMMAND CENTER</t>
        </is>
      </c>
    </row>
    <row r="3">
      <c r="A3" s="1" t="inlineStr">
        <is>
          <t>Total Tasks</t>
        </is>
      </c>
      <c r="B3" s="1" t="inlineStr">
        <is>
          <t>Done</t>
        </is>
      </c>
      <c r="C3" s="1" t="inlineStr">
        <is>
          <t>In Progress</t>
        </is>
      </c>
      <c r="D3" s="1" t="inlineStr">
        <is>
          <t>Blocked</t>
        </is>
      </c>
      <c r="E3" s="1" t="inlineStr">
        <is>
          <t>Not Started</t>
        </is>
      </c>
      <c r="F3" s="1" t="inlineStr">
        <is>
          <t>% Complete</t>
        </is>
      </c>
    </row>
    <row r="4">
      <c r="A4" s="25">
        <f>COUNTA('Task Registry'!A2:A44)</f>
        <v/>
      </c>
      <c r="B4" s="11">
        <f>COUNTIF(TaskStatus,"Done")</f>
        <v/>
      </c>
      <c r="C4" s="11">
        <f>COUNTIF(TaskStatus,"In Progress")</f>
        <v/>
      </c>
      <c r="D4" s="11">
        <f>COUNTIF(TaskStatus,"Blocked")</f>
        <v/>
      </c>
      <c r="E4" s="11">
        <f>COUNTIF(TaskStatus,"Not Started")</f>
        <v/>
      </c>
      <c r="F4" s="26">
        <f>IF(A4=0,0,B4/A4)</f>
        <v/>
      </c>
    </row>
    <row r="6">
      <c r="A6" s="27" t="inlineStr">
        <is>
          <t>📋  Feature Breakdown</t>
        </is>
      </c>
    </row>
    <row r="7">
      <c r="A7" s="1" t="inlineStr">
        <is>
          <t>Feature ID</t>
        </is>
      </c>
      <c r="B7" s="1" t="inlineStr">
        <is>
          <t>Feature Name</t>
        </is>
      </c>
      <c r="C7" s="1" t="inlineStr">
        <is>
          <t>Total Tasks</t>
        </is>
      </c>
      <c r="D7" s="1" t="inlineStr">
        <is>
          <t>Done</t>
        </is>
      </c>
      <c r="E7" s="1" t="inlineStr">
        <is>
          <t>In Progress</t>
        </is>
      </c>
      <c r="F7" s="1" t="inlineStr">
        <is>
          <t>Story Points</t>
        </is>
      </c>
    </row>
    <row r="8">
      <c r="A8" s="2" t="inlineStr">
        <is>
          <t>F1</t>
        </is>
      </c>
      <c r="B8" s="28" t="inlineStr">
        <is>
          <t>PDF Tooling</t>
        </is>
      </c>
      <c r="C8" s="10">
        <f>COUNTIF(TaskFeature,"F1")</f>
        <v/>
      </c>
      <c r="D8" s="10">
        <f>COUNTIFS(TaskFeature,"F1",TaskStatus,"Done")</f>
        <v/>
      </c>
      <c r="E8" s="10">
        <f>COUNTIFS(TaskFeature,"F1",TaskStatus,"In Progress")</f>
        <v/>
      </c>
      <c r="F8" s="10">
        <f>SUMIF(TaskFeature,"F1",TaskSP)</f>
        <v/>
      </c>
    </row>
    <row r="9">
      <c r="A9" s="3" t="inlineStr">
        <is>
          <t>F2</t>
        </is>
      </c>
      <c r="B9" s="29" t="inlineStr">
        <is>
          <t>MANBEARPIG v10</t>
        </is>
      </c>
      <c r="C9" s="11">
        <f>COUNTIF(TaskFeature,"F2")</f>
        <v/>
      </c>
      <c r="D9" s="11">
        <f>COUNTIFS(TaskFeature,"F2",TaskStatus,"Done")</f>
        <v/>
      </c>
      <c r="E9" s="11">
        <f>COUNTIFS(TaskFeature,"F2",TaskStatus,"In Progress")</f>
        <v/>
      </c>
      <c r="F9" s="11">
        <f>SUMIF(TaskFeature,"F2",TaskSP)</f>
        <v/>
      </c>
    </row>
    <row r="10">
      <c r="A10" s="2" t="inlineStr">
        <is>
          <t>F3</t>
        </is>
      </c>
      <c r="B10" s="28" t="inlineStr">
        <is>
          <t>Drive Reorganization</t>
        </is>
      </c>
      <c r="C10" s="10">
        <f>COUNTIF(TaskFeature,"F3")</f>
        <v/>
      </c>
      <c r="D10" s="10">
        <f>COUNTIFS(TaskFeature,"F3",TaskStatus,"Done")</f>
        <v/>
      </c>
      <c r="E10" s="10">
        <f>COUNTIFS(TaskFeature,"F3",TaskStatus,"In Progress")</f>
        <v/>
      </c>
      <c r="F10" s="10">
        <f>SUMIF(TaskFeature,"F3",TaskSP)</f>
        <v/>
      </c>
    </row>
    <row r="11">
      <c r="A11" s="3" t="inlineStr">
        <is>
          <t>F4</t>
        </is>
      </c>
      <c r="B11" s="29" t="inlineStr">
        <is>
          <t>Skill Framework</t>
        </is>
      </c>
      <c r="C11" s="11">
        <f>COUNTIF(TaskFeature,"F4")</f>
        <v/>
      </c>
      <c r="D11" s="11">
        <f>COUNTIFS(TaskFeature,"F4",TaskStatus,"Done")</f>
        <v/>
      </c>
      <c r="E11" s="11">
        <f>COUNTIFS(TaskFeature,"F4",TaskStatus,"In Progress")</f>
        <v/>
      </c>
      <c r="F11" s="11">
        <f>SUMIF(TaskFeature,"F4",TaskSP)</f>
        <v/>
      </c>
    </row>
    <row r="12">
      <c r="A12" s="2" t="inlineStr">
        <is>
          <t>F5</t>
        </is>
      </c>
      <c r="B12" s="28" t="inlineStr">
        <is>
          <t>Filing Automation</t>
        </is>
      </c>
      <c r="C12" s="10">
        <f>COUNTIF(TaskFeature,"F5")</f>
        <v/>
      </c>
      <c r="D12" s="10">
        <f>COUNTIFS(TaskFeature,"F5",TaskStatus,"Done")</f>
        <v/>
      </c>
      <c r="E12" s="10">
        <f>COUNTIFS(TaskFeature,"F5",TaskStatus,"In Progress")</f>
        <v/>
      </c>
      <c r="F12" s="10">
        <f>SUMIF(TaskFeature,"F5",TaskSP)</f>
        <v/>
      </c>
    </row>
    <row r="13">
      <c r="A13" s="3" t="inlineStr">
        <is>
          <t>F6</t>
        </is>
      </c>
      <c r="B13" s="29" t="inlineStr">
        <is>
          <t>RAG Pipeline</t>
        </is>
      </c>
      <c r="C13" s="11">
        <f>COUNTIF(TaskFeature,"F6")</f>
        <v/>
      </c>
      <c r="D13" s="11">
        <f>COUNTIFS(TaskFeature,"F6",TaskStatus,"Done")</f>
        <v/>
      </c>
      <c r="E13" s="11">
        <f>COUNTIFS(TaskFeature,"F6",TaskStatus,"In Progress")</f>
        <v/>
      </c>
      <c r="F13" s="11">
        <f>SUMIF(TaskFeature,"F6",TaskSP)</f>
        <v/>
      </c>
    </row>
    <row r="14">
      <c r="A14" s="2" t="inlineStr">
        <is>
          <t>F7</t>
        </is>
      </c>
      <c r="B14" s="28" t="inlineStr">
        <is>
          <t>Self-Evolution</t>
        </is>
      </c>
      <c r="C14" s="10">
        <f>COUNTIF(TaskFeature,"F7")</f>
        <v/>
      </c>
      <c r="D14" s="10">
        <f>COUNTIFS(TaskFeature,"F7",TaskStatus,"Done")</f>
        <v/>
      </c>
      <c r="E14" s="10">
        <f>COUNTIFS(TaskFeature,"F7",TaskStatus,"In Progress")</f>
        <v/>
      </c>
      <c r="F14" s="10">
        <f>SUMIF(TaskFeature,"F7",TaskSP)</f>
        <v/>
      </c>
    </row>
    <row r="15">
      <c r="A15" s="3" t="inlineStr">
        <is>
          <t>F8</t>
        </is>
      </c>
      <c r="B15" s="29" t="inlineStr">
        <is>
          <t>Productization</t>
        </is>
      </c>
      <c r="C15" s="11">
        <f>COUNTIF(TaskFeature,"F8")</f>
        <v/>
      </c>
      <c r="D15" s="11">
        <f>COUNTIFS(TaskFeature,"F8",TaskStatus,"Done")</f>
        <v/>
      </c>
      <c r="E15" s="11">
        <f>COUNTIFS(TaskFeature,"F8",TaskStatus,"In Progress")</f>
        <v/>
      </c>
      <c r="F15" s="11">
        <f>SUMIF(TaskFeature,"F8",TaskSP)</f>
        <v/>
      </c>
    </row>
    <row r="16">
      <c r="A16" s="30" t="inlineStr">
        <is>
          <t>TOTAL</t>
        </is>
      </c>
      <c r="B16" s="30" t="inlineStr">
        <is>
          <t>All Features</t>
        </is>
      </c>
      <c r="C16" s="31">
        <f>SUM(C8:C15)</f>
        <v/>
      </c>
      <c r="D16" s="31">
        <f>SUM(D8:D15)</f>
        <v/>
      </c>
      <c r="E16" s="31">
        <f>SUM(E8:E15)</f>
        <v/>
      </c>
      <c r="F16" s="31">
        <f>SUM(F8:F15)</f>
        <v/>
      </c>
    </row>
    <row r="19">
      <c r="A19" s="27" t="inlineStr">
        <is>
          <t>🚀  Sprint Velocity Trend</t>
        </is>
      </c>
    </row>
    <row r="20">
      <c r="A20" s="1" t="inlineStr">
        <is>
          <t>Sprint</t>
        </is>
      </c>
      <c r="B20" s="1" t="inlineStr">
        <is>
          <t>Planned SP</t>
        </is>
      </c>
      <c r="C20" s="1" t="inlineStr">
        <is>
          <t>Actual SP</t>
        </is>
      </c>
      <c r="D20" s="1" t="inlineStr">
        <is>
          <t>Velocity</t>
        </is>
      </c>
      <c r="E20" s="1" t="inlineStr">
        <is>
          <t>Cumulative SP</t>
        </is>
      </c>
      <c r="F20" s="1" t="inlineStr">
        <is>
          <t>% of Total</t>
        </is>
      </c>
    </row>
    <row r="21">
      <c r="A21" s="3" t="n">
        <v>1</v>
      </c>
      <c r="B21" s="11">
        <f>'Sprint Planner'!D2</f>
        <v/>
      </c>
      <c r="C21" s="11">
        <f>'Sprint Planner'!E2</f>
        <v/>
      </c>
      <c r="D21" s="11">
        <f>'Sprint Planner'!F2</f>
        <v/>
      </c>
      <c r="E21" s="11">
        <f>SUM('Sprint Planner'!$E$2:$E$2)</f>
        <v/>
      </c>
      <c r="F21" s="32">
        <f>IF(233=0,0,E21/233)</f>
        <v/>
      </c>
    </row>
    <row r="22">
      <c r="A22" s="2" t="n">
        <v>2</v>
      </c>
      <c r="B22" s="10">
        <f>'Sprint Planner'!D3</f>
        <v/>
      </c>
      <c r="C22" s="10">
        <f>'Sprint Planner'!E3</f>
        <v/>
      </c>
      <c r="D22" s="10">
        <f>'Sprint Planner'!F3</f>
        <v/>
      </c>
      <c r="E22" s="10">
        <f>SUM('Sprint Planner'!$E$2:$E$3)</f>
        <v/>
      </c>
      <c r="F22" s="33">
        <f>IF(233=0,0,E22/233)</f>
        <v/>
      </c>
    </row>
    <row r="23">
      <c r="A23" s="3" t="n">
        <v>3</v>
      </c>
      <c r="B23" s="11">
        <f>'Sprint Planner'!D4</f>
        <v/>
      </c>
      <c r="C23" s="11">
        <f>'Sprint Planner'!E4</f>
        <v/>
      </c>
      <c r="D23" s="11">
        <f>'Sprint Planner'!F4</f>
        <v/>
      </c>
      <c r="E23" s="11">
        <f>SUM('Sprint Planner'!$E$2:$E$4)</f>
        <v/>
      </c>
      <c r="F23" s="32">
        <f>IF(233=0,0,E23/233)</f>
        <v/>
      </c>
    </row>
    <row r="24">
      <c r="A24" s="2" t="n">
        <v>4</v>
      </c>
      <c r="B24" s="10">
        <f>'Sprint Planner'!D5</f>
        <v/>
      </c>
      <c r="C24" s="10">
        <f>'Sprint Planner'!E5</f>
        <v/>
      </c>
      <c r="D24" s="10">
        <f>'Sprint Planner'!F5</f>
        <v/>
      </c>
      <c r="E24" s="10">
        <f>SUM('Sprint Planner'!$E$2:$E$5)</f>
        <v/>
      </c>
      <c r="F24" s="33">
        <f>IF(233=0,0,E24/233)</f>
        <v/>
      </c>
    </row>
    <row r="25">
      <c r="A25" s="3" t="n">
        <v>5</v>
      </c>
      <c r="B25" s="11">
        <f>'Sprint Planner'!D6</f>
        <v/>
      </c>
      <c r="C25" s="11">
        <f>'Sprint Planner'!E6</f>
        <v/>
      </c>
      <c r="D25" s="11">
        <f>'Sprint Planner'!F6</f>
        <v/>
      </c>
      <c r="E25" s="11">
        <f>SUM('Sprint Planner'!$E$2:$E$6)</f>
        <v/>
      </c>
      <c r="F25" s="32">
        <f>IF(233=0,0,E25/233)</f>
        <v/>
      </c>
    </row>
    <row r="26">
      <c r="A26" s="2" t="n">
        <v>6</v>
      </c>
      <c r="B26" s="10">
        <f>'Sprint Planner'!D7</f>
        <v/>
      </c>
      <c r="C26" s="10">
        <f>'Sprint Planner'!E7</f>
        <v/>
      </c>
      <c r="D26" s="10">
        <f>'Sprint Planner'!F7</f>
        <v/>
      </c>
      <c r="E26" s="10">
        <f>SUM('Sprint Planner'!$E$2:$E$7)</f>
        <v/>
      </c>
      <c r="F26" s="33">
        <f>IF(233=0,0,E26/233)</f>
        <v/>
      </c>
    </row>
    <row r="27">
      <c r="A27" s="3" t="n">
        <v>7</v>
      </c>
      <c r="B27" s="11">
        <f>'Sprint Planner'!D8</f>
        <v/>
      </c>
      <c r="C27" s="11">
        <f>'Sprint Planner'!E8</f>
        <v/>
      </c>
      <c r="D27" s="11">
        <f>'Sprint Planner'!F8</f>
        <v/>
      </c>
      <c r="E27" s="11">
        <f>SUM('Sprint Planner'!$E$2:$E$8)</f>
        <v/>
      </c>
      <c r="F27" s="32">
        <f>IF(233=0,0,E27/233)</f>
        <v/>
      </c>
    </row>
    <row r="28">
      <c r="A28" s="2" t="n">
        <v>8</v>
      </c>
      <c r="B28" s="10">
        <f>'Sprint Planner'!D9</f>
        <v/>
      </c>
      <c r="C28" s="10">
        <f>'Sprint Planner'!E9</f>
        <v/>
      </c>
      <c r="D28" s="10">
        <f>'Sprint Planner'!F9</f>
        <v/>
      </c>
      <c r="E28" s="10">
        <f>SUM('Sprint Planner'!$E$2:$E$9)</f>
        <v/>
      </c>
      <c r="F28" s="33">
        <f>IF(233=0,0,E28/233)</f>
        <v/>
      </c>
    </row>
    <row r="29">
      <c r="A29" s="3" t="n">
        <v>9</v>
      </c>
      <c r="B29" s="11">
        <f>'Sprint Planner'!D10</f>
        <v/>
      </c>
      <c r="C29" s="11">
        <f>'Sprint Planner'!E10</f>
        <v/>
      </c>
      <c r="D29" s="11">
        <f>'Sprint Planner'!F10</f>
        <v/>
      </c>
      <c r="E29" s="11">
        <f>SUM('Sprint Planner'!$E$2:$E$10)</f>
        <v/>
      </c>
      <c r="F29" s="32">
        <f>IF(233=0,0,E29/233)</f>
        <v/>
      </c>
    </row>
  </sheetData>
  <mergeCells count="3">
    <mergeCell ref="A19:F19"/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2026-03-12T13:33:22Z</dcterms:created>
  <dcterms:modified xmlns:dcterms="http://purl.org/dc/terms/" xmlns:xsi="http://www.w3.org/2001/XMLSchema-instance" xsi:type="dcterms:W3CDTF">2026-03-12T13:33:23Z</dcterms:modified>
</cp:coreProperties>
</file>