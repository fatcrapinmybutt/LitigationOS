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board" sheetId="1" state="visible" r:id="rId1"/>
    <sheet xmlns:r="http://schemas.openxmlformats.org/officeDocument/2006/relationships" name="Dimension Detail" sheetId="2" state="visible" r:id="rId2"/>
    <sheet xmlns:r="http://schemas.openxmlformats.org/officeDocument/2006/relationships" name="Placeholder Tracker" sheetId="3" state="visible" r:id="rId3"/>
    <sheet xmlns:r="http://schemas.openxmlformats.org/officeDocument/2006/relationships" name="Summary Dashboard" sheetId="4" state="visible" r:id="rId4"/>
  </sheets>
  <definedNames>
    <definedName name="_xlnm.Print_Titles" localSheetId="0">'Scoreboard'!$1:$3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4">
    <font>
      <name val="Calibri"/>
      <family val="2"/>
      <color theme="1"/>
      <sz val="11"/>
      <scheme val="minor"/>
    </font>
    <font>
      <b val="1"/>
      <color rgb="000F172A"/>
      <sz val="16"/>
    </font>
    <font>
      <i val="1"/>
      <color rgb="006B7280"/>
      <sz val="9"/>
    </font>
    <font>
      <b val="1"/>
      <color rgb="00FFFFFF"/>
      <sz val="11"/>
    </font>
    <font>
      <color rgb="001D4ED8"/>
      <sz val="11"/>
    </font>
    <font>
      <b val="1"/>
      <color rgb="001D4ED8"/>
      <sz val="11"/>
    </font>
    <font>
      <b val="1"/>
      <color rgb="00000000"/>
      <sz val="12"/>
    </font>
    <font>
      <color rgb="00000000"/>
      <sz val="11"/>
    </font>
    <font>
      <b val="1"/>
      <color rgb="000F172A"/>
      <sz val="14"/>
    </font>
    <font>
      <b val="1"/>
      <color rgb="00DC2626"/>
      <sz val="11"/>
    </font>
    <font>
      <b val="1"/>
      <color rgb="0015803D"/>
      <sz val="11"/>
    </font>
    <font>
      <b val="1"/>
      <color rgb="000F172A"/>
      <sz val="13"/>
    </font>
    <font>
      <b val="1"/>
      <sz val="11"/>
    </font>
    <font>
      <b val="1"/>
      <color rgb="0016A34A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9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4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left" vertical="center" wrapText="1"/>
    </xf>
    <xf numFmtId="9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9" fontId="4" fillId="3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/>
    </xf>
    <xf numFmtId="0" fontId="11" fillId="0" borderId="0" pivotButton="0" quotePrefix="0" xfId="0"/>
    <xf numFmtId="0" fontId="12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center" vertical="center" wrapText="1"/>
    </xf>
    <xf numFmtId="164" fontId="13" fillId="0" borderId="1" applyAlignment="1" pivotButton="0" quotePrefix="0" xfId="0">
      <alignment horizontal="center" vertical="center" wrapText="1"/>
    </xf>
    <xf numFmtId="164" fontId="1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ont>
        <b val="1"/>
        <color rgb="0015803D"/>
        <sz val="11"/>
      </font>
      <fill>
        <patternFill patternType="solid">
          <fgColor rgb="00ECFDF5"/>
          <bgColor rgb="00ECFDF5"/>
        </patternFill>
      </fill>
    </dxf>
    <dxf>
      <font>
        <b val="1"/>
        <color rgb="00B45309"/>
        <sz val="11"/>
      </font>
      <fill>
        <patternFill patternType="solid">
          <fgColor rgb="00FFFBEB"/>
          <bgColor rgb="00FFFBEB"/>
        </patternFill>
      </fill>
    </dxf>
    <dxf>
      <font>
        <b val="1"/>
        <color rgb="00DC2626"/>
        <sz val="11"/>
      </font>
      <fill>
        <patternFill patternType="solid">
          <fgColor rgb="00FEF2F2"/>
          <bgColor rgb="00FE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D4ED8"/>
    <outlinePr summaryBelow="1" summaryRight="1"/>
  </sheetPr>
  <dimension ref="A1:P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FILING READINESS SCOREBOARD — 2026-03-12</t>
        </is>
      </c>
    </row>
    <row r="2">
      <c r="A2" s="2" t="inlineStr">
        <is>
          <t>WEIGHTS →</t>
        </is>
      </c>
      <c r="D2" s="3" t="n">
        <v>0.15</v>
      </c>
      <c r="E2" s="3" t="n">
        <v>0.12</v>
      </c>
      <c r="F2" s="3" t="n">
        <v>0.1</v>
      </c>
      <c r="G2" s="3" t="n">
        <v>0.1</v>
      </c>
      <c r="H2" s="3" t="n">
        <v>0.1</v>
      </c>
      <c r="I2" s="3" t="n">
        <v>0.12</v>
      </c>
      <c r="J2" s="3" t="n">
        <v>0.1</v>
      </c>
      <c r="K2" s="3" t="n">
        <v>0.08</v>
      </c>
      <c r="L2" s="3" t="n">
        <v>0.08</v>
      </c>
      <c r="M2" s="3" t="n">
        <v>0.05</v>
      </c>
    </row>
    <row r="3">
      <c r="A3" s="4" t="inlineStr">
        <is>
          <t>#</t>
        </is>
      </c>
      <c r="B3" s="4" t="inlineStr">
        <is>
          <t>Filing Package</t>
        </is>
      </c>
      <c r="C3" s="4" t="inlineStr">
        <is>
          <t>Court</t>
        </is>
      </c>
      <c r="D3" s="4" t="inlineStr">
        <is>
          <t>A: Citations</t>
        </is>
      </c>
      <c r="E3" s="4" t="inlineStr">
        <is>
          <t>B: Placeholders</t>
        </is>
      </c>
      <c r="F3" s="4" t="inlineStr">
        <is>
          <t>C: Party Names</t>
        </is>
      </c>
      <c r="G3" s="4" t="inlineStr">
        <is>
          <t>D: Case Numbers</t>
        </is>
      </c>
      <c r="H3" s="4" t="inlineStr">
        <is>
          <t>E: MCR Format</t>
        </is>
      </c>
      <c r="I3" s="4" t="inlineStr">
        <is>
          <t>F: Evidence</t>
        </is>
      </c>
      <c r="J3" s="4" t="inlineStr">
        <is>
          <t>G: Authority</t>
        </is>
      </c>
      <c r="K3" s="4" t="inlineStr">
        <is>
          <t>H: Proof of Svc</t>
        </is>
      </c>
      <c r="L3" s="4" t="inlineStr">
        <is>
          <t>I: SCAO Forms</t>
        </is>
      </c>
      <c r="M3" s="4" t="inlineStr">
        <is>
          <t>J: Signature</t>
        </is>
      </c>
      <c r="N3" s="4" t="inlineStr">
        <is>
          <t>Weighted Score</t>
        </is>
      </c>
      <c r="O3" s="4" t="inlineStr">
        <is>
          <t>GO / NO-GO</t>
        </is>
      </c>
      <c r="P3" s="4" t="inlineStr">
        <is>
          <t>Status</t>
        </is>
      </c>
    </row>
    <row r="4">
      <c r="A4" s="5" t="n">
        <v>1</v>
      </c>
      <c r="B4" s="6" t="inlineStr">
        <is>
          <t>JTC v. McNeill</t>
        </is>
      </c>
      <c r="C4" s="5" t="inlineStr">
        <is>
          <t>JTC</t>
        </is>
      </c>
      <c r="D4" s="5" t="n">
        <v>10</v>
      </c>
      <c r="E4" s="5" t="n">
        <v>10</v>
      </c>
      <c r="F4" s="5" t="n">
        <v>10</v>
      </c>
      <c r="G4" s="5" t="n">
        <v>10</v>
      </c>
      <c r="H4" s="5" t="n">
        <v>10</v>
      </c>
      <c r="I4" s="5" t="n">
        <v>10</v>
      </c>
      <c r="J4" s="5" t="n">
        <v>10</v>
      </c>
      <c r="K4" s="5" t="n">
        <v>10</v>
      </c>
      <c r="L4" s="5" t="n">
        <v>10</v>
      </c>
      <c r="M4" s="5" t="n">
        <v>6</v>
      </c>
      <c r="N4" s="7">
        <f>SUMPRODUCT($D$2:$M$2,D4:M4)*10</f>
        <v/>
      </c>
      <c r="O4" s="8">
        <f>IF(N4&gt;=80,"GO",IF(N4&gt;=60,"CONDITIONAL","NO-GO"))</f>
        <v/>
      </c>
      <c r="P4" s="5" t="inlineStr">
        <is>
          <t>READY</t>
        </is>
      </c>
    </row>
    <row r="5">
      <c r="A5" s="9" t="n">
        <v>2</v>
      </c>
      <c r="B5" s="10" t="inlineStr">
        <is>
          <t>Emergency PT Motion</t>
        </is>
      </c>
      <c r="C5" s="9" t="inlineStr">
        <is>
          <t>14th Circuit</t>
        </is>
      </c>
      <c r="D5" s="9" t="n">
        <v>10</v>
      </c>
      <c r="E5" s="9" t="n">
        <v>10</v>
      </c>
      <c r="F5" s="9" t="n">
        <v>10</v>
      </c>
      <c r="G5" s="9" t="n">
        <v>10</v>
      </c>
      <c r="H5" s="9" t="n">
        <v>10</v>
      </c>
      <c r="I5" s="9" t="n">
        <v>9</v>
      </c>
      <c r="J5" s="9" t="n">
        <v>9</v>
      </c>
      <c r="K5" s="9" t="n">
        <v>9</v>
      </c>
      <c r="L5" s="9" t="n">
        <v>9</v>
      </c>
      <c r="M5" s="9" t="n">
        <v>2</v>
      </c>
      <c r="N5" s="11">
        <f>SUMPRODUCT($D$2:$M$2,D5:M5)*10</f>
        <v/>
      </c>
      <c r="O5" s="12">
        <f>IF(N5&gt;=80,"GO",IF(N5&gt;=60,"CONDITIONAL","NO-GO"))</f>
        <v/>
      </c>
      <c r="P5" s="9" t="inlineStr">
        <is>
          <t>READY</t>
        </is>
      </c>
    </row>
    <row r="6">
      <c r="A6" s="5" t="n">
        <v>3</v>
      </c>
      <c r="B6" s="6" t="inlineStr">
        <is>
          <t>22-Count Housing Mega</t>
        </is>
      </c>
      <c r="C6" s="5" t="inlineStr">
        <is>
          <t>14th Circuit</t>
        </is>
      </c>
      <c r="D6" s="5" t="n">
        <v>10</v>
      </c>
      <c r="E6" s="5" t="n">
        <v>10</v>
      </c>
      <c r="F6" s="5" t="n">
        <v>10</v>
      </c>
      <c r="G6" s="5" t="n">
        <v>10</v>
      </c>
      <c r="H6" s="5" t="n">
        <v>10</v>
      </c>
      <c r="I6" s="5" t="n">
        <v>9</v>
      </c>
      <c r="J6" s="5" t="n">
        <v>9</v>
      </c>
      <c r="K6" s="5" t="n">
        <v>9</v>
      </c>
      <c r="L6" s="5" t="n">
        <v>9</v>
      </c>
      <c r="M6" s="5" t="n">
        <v>0</v>
      </c>
      <c r="N6" s="7">
        <f>SUMPRODUCT($D$2:$M$2,D6:M6)*10</f>
        <v/>
      </c>
      <c r="O6" s="8">
        <f>IF(N6&gt;=80,"GO",IF(N6&gt;=60,"CONDITIONAL","NO-GO"))</f>
        <v/>
      </c>
      <c r="P6" s="5" t="inlineStr">
        <is>
          <t>READY</t>
        </is>
      </c>
    </row>
    <row r="7">
      <c r="A7" s="9" t="n">
        <v>4</v>
      </c>
      <c r="B7" s="10" t="inlineStr">
        <is>
          <t>MSC Emergency Application</t>
        </is>
      </c>
      <c r="C7" s="9" t="inlineStr">
        <is>
          <t>MSC</t>
        </is>
      </c>
      <c r="D7" s="9" t="n">
        <v>10</v>
      </c>
      <c r="E7" s="9" t="n">
        <v>10</v>
      </c>
      <c r="F7" s="9" t="n">
        <v>10</v>
      </c>
      <c r="G7" s="9" t="n">
        <v>10</v>
      </c>
      <c r="H7" s="9" t="n">
        <v>10</v>
      </c>
      <c r="I7" s="9" t="n">
        <v>9</v>
      </c>
      <c r="J7" s="9" t="n">
        <v>9</v>
      </c>
      <c r="K7" s="9" t="n">
        <v>9</v>
      </c>
      <c r="L7" s="9" t="n">
        <v>9</v>
      </c>
      <c r="M7" s="9" t="n">
        <v>0</v>
      </c>
      <c r="N7" s="11">
        <f>SUMPRODUCT($D$2:$M$2,D7:M7)*10</f>
        <v/>
      </c>
      <c r="O7" s="12">
        <f>IF(N7&gt;=80,"GO",IF(N7&gt;=60,"CONDITIONAL","NO-GO"))</f>
        <v/>
      </c>
      <c r="P7" s="9" t="inlineStr">
        <is>
          <t>READY</t>
        </is>
      </c>
    </row>
    <row r="8">
      <c r="A8" s="5" t="n">
        <v>5</v>
      </c>
      <c r="B8" s="6" t="inlineStr">
        <is>
          <t>MSC Superintending Control</t>
        </is>
      </c>
      <c r="C8" s="5" t="inlineStr">
        <is>
          <t>MSC</t>
        </is>
      </c>
      <c r="D8" s="5" t="n">
        <v>10</v>
      </c>
      <c r="E8" s="5" t="n">
        <v>10</v>
      </c>
      <c r="F8" s="5" t="n">
        <v>10</v>
      </c>
      <c r="G8" s="5" t="n">
        <v>10</v>
      </c>
      <c r="H8" s="5" t="n">
        <v>10</v>
      </c>
      <c r="I8" s="5" t="n">
        <v>9</v>
      </c>
      <c r="J8" s="5" t="n">
        <v>9</v>
      </c>
      <c r="K8" s="5" t="n">
        <v>9</v>
      </c>
      <c r="L8" s="5" t="n">
        <v>9</v>
      </c>
      <c r="M8" s="5" t="n">
        <v>0</v>
      </c>
      <c r="N8" s="7">
        <f>SUMPRODUCT($D$2:$M$2,D8:M8)*10</f>
        <v/>
      </c>
      <c r="O8" s="8">
        <f>IF(N8&gt;=80,"GO",IF(N8&gt;=60,"CONDITIONAL","NO-GO"))</f>
        <v/>
      </c>
      <c r="P8" s="5" t="inlineStr">
        <is>
          <t>READY</t>
        </is>
      </c>
    </row>
    <row r="9">
      <c r="A9" s="9" t="n">
        <v>6</v>
      </c>
      <c r="B9" s="10" t="inlineStr">
        <is>
          <t>MSC Habeas Corpus</t>
        </is>
      </c>
      <c r="C9" s="9" t="inlineStr">
        <is>
          <t>MSC</t>
        </is>
      </c>
      <c r="D9" s="9" t="n">
        <v>10</v>
      </c>
      <c r="E9" s="9" t="n">
        <v>10</v>
      </c>
      <c r="F9" s="9" t="n">
        <v>10</v>
      </c>
      <c r="G9" s="9" t="n">
        <v>10</v>
      </c>
      <c r="H9" s="9" t="n">
        <v>10</v>
      </c>
      <c r="I9" s="9" t="n">
        <v>9</v>
      </c>
      <c r="J9" s="9" t="n">
        <v>9</v>
      </c>
      <c r="K9" s="9" t="n">
        <v>9</v>
      </c>
      <c r="L9" s="9" t="n">
        <v>9</v>
      </c>
      <c r="M9" s="9" t="n">
        <v>0</v>
      </c>
      <c r="N9" s="11">
        <f>SUMPRODUCT($D$2:$M$2,D9:M9)*10</f>
        <v/>
      </c>
      <c r="O9" s="12">
        <f>IF(N9&gt;=80,"GO",IF(N9&gt;=60,"CONDITIONAL","NO-GO"))</f>
        <v/>
      </c>
      <c r="P9" s="9" t="inlineStr">
        <is>
          <t>READY</t>
        </is>
      </c>
    </row>
    <row r="10">
      <c r="A10" s="5" t="n">
        <v>7</v>
      </c>
      <c r="B10" s="6" t="inlineStr">
        <is>
          <t>MSC Mandamus</t>
        </is>
      </c>
      <c r="C10" s="5" t="inlineStr">
        <is>
          <t>MSC</t>
        </is>
      </c>
      <c r="D10" s="5" t="n">
        <v>10</v>
      </c>
      <c r="E10" s="5" t="n">
        <v>10</v>
      </c>
      <c r="F10" s="5" t="n">
        <v>10</v>
      </c>
      <c r="G10" s="5" t="n">
        <v>10</v>
      </c>
      <c r="H10" s="5" t="n">
        <v>10</v>
      </c>
      <c r="I10" s="5" t="n">
        <v>9</v>
      </c>
      <c r="J10" s="5" t="n">
        <v>9</v>
      </c>
      <c r="K10" s="5" t="n">
        <v>9</v>
      </c>
      <c r="L10" s="5" t="n">
        <v>9</v>
      </c>
      <c r="M10" s="5" t="n">
        <v>0</v>
      </c>
      <c r="N10" s="7">
        <f>SUMPRODUCT($D$2:$M$2,D10:M10)*10</f>
        <v/>
      </c>
      <c r="O10" s="8">
        <f>IF(N10&gt;=80,"GO",IF(N10&gt;=60,"CONDITIONAL","NO-GO"))</f>
        <v/>
      </c>
      <c r="P10" s="5" t="inlineStr">
        <is>
          <t>READY</t>
        </is>
      </c>
    </row>
    <row r="11">
      <c r="A11" s="9" t="n">
        <v>8</v>
      </c>
      <c r="B11" s="10" t="inlineStr">
        <is>
          <t>MSC Declaratory Judgment</t>
        </is>
      </c>
      <c r="C11" s="9" t="inlineStr">
        <is>
          <t>MSC</t>
        </is>
      </c>
      <c r="D11" s="9" t="n">
        <v>9</v>
      </c>
      <c r="E11" s="9" t="n">
        <v>9</v>
      </c>
      <c r="F11" s="9" t="n">
        <v>9</v>
      </c>
      <c r="G11" s="9" t="n">
        <v>9</v>
      </c>
      <c r="H11" s="9" t="n">
        <v>9</v>
      </c>
      <c r="I11" s="9" t="n">
        <v>9</v>
      </c>
      <c r="J11" s="9" t="n">
        <v>9</v>
      </c>
      <c r="K11" s="9" t="n">
        <v>9</v>
      </c>
      <c r="L11" s="9" t="n">
        <v>9</v>
      </c>
      <c r="M11" s="9" t="n">
        <v>5</v>
      </c>
      <c r="N11" s="11">
        <f>SUMPRODUCT($D$2:$M$2,D11:M11)*10</f>
        <v/>
      </c>
      <c r="O11" s="12">
        <f>IF(N11&gt;=80,"GO",IF(N11&gt;=60,"CONDITIONAL","NO-GO"))</f>
        <v/>
      </c>
      <c r="P11" s="9" t="inlineStr">
        <is>
          <t>NEAR-READY</t>
        </is>
      </c>
    </row>
    <row r="12">
      <c r="A12" s="5" t="n">
        <v>9</v>
      </c>
      <c r="B12" s="6" t="inlineStr">
        <is>
          <t>Disqualification Motion</t>
        </is>
      </c>
      <c r="C12" s="5" t="inlineStr">
        <is>
          <t>14th Circuit</t>
        </is>
      </c>
      <c r="D12" s="5" t="n">
        <v>9</v>
      </c>
      <c r="E12" s="5" t="n">
        <v>9</v>
      </c>
      <c r="F12" s="5" t="n">
        <v>9</v>
      </c>
      <c r="G12" s="5" t="n">
        <v>9</v>
      </c>
      <c r="H12" s="5" t="n">
        <v>9</v>
      </c>
      <c r="I12" s="5" t="n">
        <v>9</v>
      </c>
      <c r="J12" s="5" t="n">
        <v>9</v>
      </c>
      <c r="K12" s="5" t="n">
        <v>9</v>
      </c>
      <c r="L12" s="5" t="n">
        <v>9</v>
      </c>
      <c r="M12" s="5" t="n">
        <v>5</v>
      </c>
      <c r="N12" s="7">
        <f>SUMPRODUCT($D$2:$M$2,D12:M12)*10</f>
        <v/>
      </c>
      <c r="O12" s="8">
        <f>IF(N12&gt;=80,"GO",IF(N12&gt;=60,"CONDITIONAL","NO-GO"))</f>
        <v/>
      </c>
      <c r="P12" s="5" t="inlineStr">
        <is>
          <t>NEAR-READY</t>
        </is>
      </c>
    </row>
    <row r="13">
      <c r="A13" s="9" t="n">
        <v>10</v>
      </c>
      <c r="B13" s="10" t="inlineStr">
        <is>
          <t>Contempt Show Cause</t>
        </is>
      </c>
      <c r="C13" s="9" t="inlineStr">
        <is>
          <t>14th Circuit</t>
        </is>
      </c>
      <c r="D13" s="9" t="n">
        <v>9</v>
      </c>
      <c r="E13" s="9" t="n">
        <v>9</v>
      </c>
      <c r="F13" s="9" t="n">
        <v>9</v>
      </c>
      <c r="G13" s="9" t="n">
        <v>9</v>
      </c>
      <c r="H13" s="9" t="n">
        <v>9</v>
      </c>
      <c r="I13" s="9" t="n">
        <v>9</v>
      </c>
      <c r="J13" s="9" t="n">
        <v>9</v>
      </c>
      <c r="K13" s="9" t="n">
        <v>9</v>
      </c>
      <c r="L13" s="9" t="n">
        <v>9</v>
      </c>
      <c r="M13" s="9" t="n">
        <v>5</v>
      </c>
      <c r="N13" s="11">
        <f>SUMPRODUCT($D$2:$M$2,D13:M13)*10</f>
        <v/>
      </c>
      <c r="O13" s="12">
        <f>IF(N13&gt;=80,"GO",IF(N13&gt;=60,"CONDITIONAL","NO-GO"))</f>
        <v/>
      </c>
      <c r="P13" s="9" t="inlineStr">
        <is>
          <t>NEAR-READY</t>
        </is>
      </c>
    </row>
    <row r="14">
      <c r="A14" s="5" t="n">
        <v>11</v>
      </c>
      <c r="B14" s="6" t="inlineStr">
        <is>
          <t>Shady Oaks Circuit</t>
        </is>
      </c>
      <c r="C14" s="5" t="inlineStr">
        <is>
          <t>14th Circuit</t>
        </is>
      </c>
      <c r="D14" s="5" t="n">
        <v>8</v>
      </c>
      <c r="E14" s="5" t="n">
        <v>8</v>
      </c>
      <c r="F14" s="5" t="n">
        <v>8</v>
      </c>
      <c r="G14" s="5" t="n">
        <v>8</v>
      </c>
      <c r="H14" s="5" t="n">
        <v>8</v>
      </c>
      <c r="I14" s="5" t="n">
        <v>8</v>
      </c>
      <c r="J14" s="5" t="n">
        <v>8</v>
      </c>
      <c r="K14" s="5" t="n">
        <v>8</v>
      </c>
      <c r="L14" s="5" t="n">
        <v>8</v>
      </c>
      <c r="M14" s="5" t="n">
        <v>10</v>
      </c>
      <c r="N14" s="7">
        <f>SUMPRODUCT($D$2:$M$2,D14:M14)*10</f>
        <v/>
      </c>
      <c r="O14" s="8">
        <f>IF(N14&gt;=80,"GO",IF(N14&gt;=60,"CONDITIONAL","NO-GO"))</f>
        <v/>
      </c>
      <c r="P14" s="5" t="inlineStr">
        <is>
          <t>NEAR-READY</t>
        </is>
      </c>
    </row>
    <row r="15">
      <c r="A15" s="9" t="n">
        <v>12</v>
      </c>
      <c r="B15" s="10" t="inlineStr">
        <is>
          <t>AGC v. Berry</t>
        </is>
      </c>
      <c r="C15" s="9" t="inlineStr">
        <is>
          <t>AGC</t>
        </is>
      </c>
      <c r="D15" s="9" t="n">
        <v>8</v>
      </c>
      <c r="E15" s="9" t="n">
        <v>8</v>
      </c>
      <c r="F15" s="9" t="n">
        <v>8</v>
      </c>
      <c r="G15" s="9" t="n">
        <v>8</v>
      </c>
      <c r="H15" s="9" t="n">
        <v>8</v>
      </c>
      <c r="I15" s="9" t="n">
        <v>8</v>
      </c>
      <c r="J15" s="9" t="n">
        <v>8</v>
      </c>
      <c r="K15" s="9" t="n">
        <v>8</v>
      </c>
      <c r="L15" s="9" t="n">
        <v>8</v>
      </c>
      <c r="M15" s="9" t="n">
        <v>10</v>
      </c>
      <c r="N15" s="11">
        <f>SUMPRODUCT($D$2:$M$2,D15:M15)*10</f>
        <v/>
      </c>
      <c r="O15" s="12">
        <f>IF(N15&gt;=80,"GO",IF(N15&gt;=60,"CONDITIONAL","NO-GO"))</f>
        <v/>
      </c>
      <c r="P15" s="9" t="inlineStr">
        <is>
          <t>NEAR-READY</t>
        </is>
      </c>
    </row>
    <row r="16">
      <c r="A16" s="5" t="n">
        <v>13</v>
      </c>
      <c r="B16" s="6" t="inlineStr">
        <is>
          <t>COA Brief 366810</t>
        </is>
      </c>
      <c r="C16" s="5" t="inlineStr">
        <is>
          <t>COA</t>
        </is>
      </c>
      <c r="D16" s="5" t="n">
        <v>8</v>
      </c>
      <c r="E16" s="5" t="n">
        <v>8</v>
      </c>
      <c r="F16" s="5" t="n">
        <v>8</v>
      </c>
      <c r="G16" s="5" t="n">
        <v>8</v>
      </c>
      <c r="H16" s="5" t="n">
        <v>8</v>
      </c>
      <c r="I16" s="5" t="n">
        <v>8</v>
      </c>
      <c r="J16" s="5" t="n">
        <v>8</v>
      </c>
      <c r="K16" s="5" t="n">
        <v>8</v>
      </c>
      <c r="L16" s="5" t="n">
        <v>8</v>
      </c>
      <c r="M16" s="5" t="n">
        <v>10</v>
      </c>
      <c r="N16" s="7">
        <f>SUMPRODUCT($D$2:$M$2,D16:M16)*10</f>
        <v/>
      </c>
      <c r="O16" s="8">
        <f>IF(N16&gt;=80,"GO",IF(N16&gt;=60,"CONDITIONAL","NO-GO"))</f>
        <v/>
      </c>
      <c r="P16" s="5" t="inlineStr">
        <is>
          <t>NEAR-READY</t>
        </is>
      </c>
    </row>
    <row r="17">
      <c r="A17" s="9" t="n">
        <v>14</v>
      </c>
      <c r="B17" s="10" t="inlineStr">
        <is>
          <t>Federal Housing (FHA+RICO)</t>
        </is>
      </c>
      <c r="C17" s="9" t="inlineStr">
        <is>
          <t>W.D. Michigan</t>
        </is>
      </c>
      <c r="D17" s="9" t="n">
        <v>8</v>
      </c>
      <c r="E17" s="9" t="n">
        <v>8</v>
      </c>
      <c r="F17" s="9" t="n">
        <v>8</v>
      </c>
      <c r="G17" s="9" t="n">
        <v>8</v>
      </c>
      <c r="H17" s="9" t="n">
        <v>8</v>
      </c>
      <c r="I17" s="9" t="n">
        <v>8</v>
      </c>
      <c r="J17" s="9" t="n">
        <v>8</v>
      </c>
      <c r="K17" s="9" t="n">
        <v>8</v>
      </c>
      <c r="L17" s="9" t="n">
        <v>8</v>
      </c>
      <c r="M17" s="9" t="n">
        <v>10</v>
      </c>
      <c r="N17" s="11">
        <f>SUMPRODUCT($D$2:$M$2,D17:M17)*10</f>
        <v/>
      </c>
      <c r="O17" s="12">
        <f>IF(N17&gt;=80,"GO",IF(N17&gt;=60,"CONDITIONAL","NO-GO"))</f>
        <v/>
      </c>
      <c r="P17" s="9" t="inlineStr">
        <is>
          <t>NEAR-READY</t>
        </is>
      </c>
    </row>
    <row r="18">
      <c r="A18" s="5" t="n">
        <v>15</v>
      </c>
      <c r="B18" s="6" t="inlineStr">
        <is>
          <t>Watson 13-Count Tort</t>
        </is>
      </c>
      <c r="C18" s="5" t="inlineStr">
        <is>
          <t>14th Circuit</t>
        </is>
      </c>
      <c r="D18" s="5" t="n">
        <v>8</v>
      </c>
      <c r="E18" s="5" t="n">
        <v>8</v>
      </c>
      <c r="F18" s="5" t="n">
        <v>8</v>
      </c>
      <c r="G18" s="5" t="n">
        <v>8</v>
      </c>
      <c r="H18" s="5" t="n">
        <v>8</v>
      </c>
      <c r="I18" s="5" t="n">
        <v>8</v>
      </c>
      <c r="J18" s="5" t="n">
        <v>8</v>
      </c>
      <c r="K18" s="5" t="n">
        <v>8</v>
      </c>
      <c r="L18" s="5" t="n">
        <v>8</v>
      </c>
      <c r="M18" s="5" t="n">
        <v>10</v>
      </c>
      <c r="N18" s="7">
        <f>SUMPRODUCT($D$2:$M$2,D18:M18)*10</f>
        <v/>
      </c>
      <c r="O18" s="8">
        <f>IF(N18&gt;=80,"GO",IF(N18&gt;=60,"CONDITIONAL","NO-GO"))</f>
        <v/>
      </c>
      <c r="P18" s="5" t="inlineStr">
        <is>
          <t>NEAR-READY</t>
        </is>
      </c>
    </row>
    <row r="19">
      <c r="A19" s="9" t="n">
        <v>16</v>
      </c>
      <c r="B19" s="10" t="inlineStr">
        <is>
          <t>Convergence Brief</t>
        </is>
      </c>
      <c r="C19" s="9" t="inlineStr">
        <is>
          <t>Multi-Forum</t>
        </is>
      </c>
      <c r="D19" s="9" t="n">
        <v>8</v>
      </c>
      <c r="E19" s="9" t="n">
        <v>8</v>
      </c>
      <c r="F19" s="9" t="n">
        <v>8</v>
      </c>
      <c r="G19" s="9" t="n">
        <v>8</v>
      </c>
      <c r="H19" s="9" t="n">
        <v>8</v>
      </c>
      <c r="I19" s="9" t="n">
        <v>8</v>
      </c>
      <c r="J19" s="9" t="n">
        <v>8</v>
      </c>
      <c r="K19" s="9" t="n">
        <v>8</v>
      </c>
      <c r="L19" s="9" t="n">
        <v>8</v>
      </c>
      <c r="M19" s="9" t="n">
        <v>10</v>
      </c>
      <c r="N19" s="11">
        <f>SUMPRODUCT($D$2:$M$2,D19:M19)*10</f>
        <v/>
      </c>
      <c r="O19" s="12">
        <f>IF(N19&gt;=80,"GO",IF(N19&gt;=60,"CONDITIONAL","NO-GO"))</f>
        <v/>
      </c>
      <c r="P19" s="9" t="inlineStr">
        <is>
          <t>NEAR-READY</t>
        </is>
      </c>
    </row>
    <row r="20">
      <c r="A20" s="5" t="n">
        <v>17</v>
      </c>
      <c r="B20" s="6" t="inlineStr">
        <is>
          <t>Federal §1983 Consolidated</t>
        </is>
      </c>
      <c r="C20" s="5" t="inlineStr">
        <is>
          <t>W.D. Michigan</t>
        </is>
      </c>
      <c r="D20" s="5" t="n">
        <v>8</v>
      </c>
      <c r="E20" s="5" t="n">
        <v>8</v>
      </c>
      <c r="F20" s="5" t="n">
        <v>8</v>
      </c>
      <c r="G20" s="5" t="n">
        <v>8</v>
      </c>
      <c r="H20" s="5" t="n">
        <v>8</v>
      </c>
      <c r="I20" s="5" t="n">
        <v>8</v>
      </c>
      <c r="J20" s="5" t="n">
        <v>8</v>
      </c>
      <c r="K20" s="5" t="n">
        <v>8</v>
      </c>
      <c r="L20" s="5" t="n">
        <v>8</v>
      </c>
      <c r="M20" s="5" t="n">
        <v>10</v>
      </c>
      <c r="N20" s="7">
        <f>SUMPRODUCT($D$2:$M$2,D20:M20)*10</f>
        <v/>
      </c>
      <c r="O20" s="8">
        <f>IF(N20&gt;=80,"GO",IF(N20&gt;=60,"CONDITIONAL","NO-GO"))</f>
        <v/>
      </c>
      <c r="P20" s="5" t="inlineStr">
        <is>
          <t>NEAR-READY</t>
        </is>
      </c>
    </row>
    <row r="21">
      <c r="A21" s="9" t="n">
        <v>18</v>
      </c>
      <c r="B21" s="10" t="inlineStr">
        <is>
          <t>HUD Fair Housing Admin</t>
        </is>
      </c>
      <c r="C21" s="9" t="inlineStr">
        <is>
          <t>HUD</t>
        </is>
      </c>
      <c r="D21" s="9" t="n">
        <v>8</v>
      </c>
      <c r="E21" s="9" t="n">
        <v>8</v>
      </c>
      <c r="F21" s="9" t="n">
        <v>8</v>
      </c>
      <c r="G21" s="9" t="n">
        <v>8</v>
      </c>
      <c r="H21" s="9" t="n">
        <v>8</v>
      </c>
      <c r="I21" s="9" t="n">
        <v>8</v>
      </c>
      <c r="J21" s="9" t="n">
        <v>8</v>
      </c>
      <c r="K21" s="9" t="n">
        <v>8</v>
      </c>
      <c r="L21" s="9" t="n">
        <v>8</v>
      </c>
      <c r="M21" s="9" t="n">
        <v>8</v>
      </c>
      <c r="N21" s="11">
        <f>SUMPRODUCT($D$2:$M$2,D21:M21)*10</f>
        <v/>
      </c>
      <c r="O21" s="12">
        <f>IF(N21&gt;=80,"GO",IF(N21&gt;=60,"CONDITIONAL","NO-GO"))</f>
        <v/>
      </c>
      <c r="P21" s="9" t="inlineStr">
        <is>
          <t>NEAR-READY</t>
        </is>
      </c>
    </row>
    <row r="22">
      <c r="A22" s="5" t="n">
        <v>19</v>
      </c>
      <c r="B22" s="6" t="inlineStr">
        <is>
          <t>LARA Housing Commission</t>
        </is>
      </c>
      <c r="C22" s="5" t="inlineStr">
        <is>
          <t>LARA</t>
        </is>
      </c>
      <c r="D22" s="5" t="n">
        <v>8</v>
      </c>
      <c r="E22" s="5" t="n">
        <v>8</v>
      </c>
      <c r="F22" s="5" t="n">
        <v>8</v>
      </c>
      <c r="G22" s="5" t="n">
        <v>8</v>
      </c>
      <c r="H22" s="5" t="n">
        <v>8</v>
      </c>
      <c r="I22" s="5" t="n">
        <v>8</v>
      </c>
      <c r="J22" s="5" t="n">
        <v>8</v>
      </c>
      <c r="K22" s="5" t="n">
        <v>8</v>
      </c>
      <c r="L22" s="5" t="n">
        <v>8</v>
      </c>
      <c r="M22" s="5" t="n">
        <v>8</v>
      </c>
      <c r="N22" s="7">
        <f>SUMPRODUCT($D$2:$M$2,D22:M22)*10</f>
        <v/>
      </c>
      <c r="O22" s="8">
        <f>IF(N22&gt;=80,"GO",IF(N22&gt;=60,"CONDITIONAL","NO-GO"))</f>
        <v/>
      </c>
      <c r="P22" s="5" t="inlineStr">
        <is>
          <t>NEAR-READY</t>
        </is>
      </c>
    </row>
    <row r="23">
      <c r="A23" s="9" t="n">
        <v>20</v>
      </c>
      <c r="B23" s="10" t="inlineStr">
        <is>
          <t>PPO Modification</t>
        </is>
      </c>
      <c r="C23" s="9" t="inlineStr">
        <is>
          <t>14th Circuit</t>
        </is>
      </c>
      <c r="D23" s="9" t="n">
        <v>8</v>
      </c>
      <c r="E23" s="9" t="n">
        <v>8</v>
      </c>
      <c r="F23" s="9" t="n">
        <v>8</v>
      </c>
      <c r="G23" s="9" t="n">
        <v>8</v>
      </c>
      <c r="H23" s="9" t="n">
        <v>8</v>
      </c>
      <c r="I23" s="9" t="n">
        <v>8</v>
      </c>
      <c r="J23" s="9" t="n">
        <v>8</v>
      </c>
      <c r="K23" s="9" t="n">
        <v>8</v>
      </c>
      <c r="L23" s="9" t="n">
        <v>8</v>
      </c>
      <c r="M23" s="9" t="n">
        <v>8</v>
      </c>
      <c r="N23" s="11">
        <f>SUMPRODUCT($D$2:$M$2,D23:M23)*10</f>
        <v/>
      </c>
      <c r="O23" s="12">
        <f>IF(N23&gt;=80,"GO",IF(N23&gt;=60,"CONDITIONAL","NO-GO"))</f>
        <v/>
      </c>
      <c r="P23" s="9" t="inlineStr">
        <is>
          <t>NEAR-READY</t>
        </is>
      </c>
    </row>
    <row r="24">
      <c r="A24" s="5" t="n">
        <v>21</v>
      </c>
      <c r="B24" s="6" t="inlineStr">
        <is>
          <t>Admin Complaints (EGLE+AG)</t>
        </is>
      </c>
      <c r="C24" s="5" t="inlineStr">
        <is>
          <t>EGLE/AG</t>
        </is>
      </c>
      <c r="D24" s="5" t="n">
        <v>8</v>
      </c>
      <c r="E24" s="5" t="n">
        <v>8</v>
      </c>
      <c r="F24" s="5" t="n">
        <v>8</v>
      </c>
      <c r="G24" s="5" t="n">
        <v>8</v>
      </c>
      <c r="H24" s="5" t="n">
        <v>8</v>
      </c>
      <c r="I24" s="5" t="n">
        <v>8</v>
      </c>
      <c r="J24" s="5" t="n">
        <v>8</v>
      </c>
      <c r="K24" s="5" t="n">
        <v>8</v>
      </c>
      <c r="L24" s="5" t="n">
        <v>8</v>
      </c>
      <c r="M24" s="5" t="n">
        <v>4</v>
      </c>
      <c r="N24" s="7">
        <f>SUMPRODUCT($D$2:$M$2,D24:M24)*10</f>
        <v/>
      </c>
      <c r="O24" s="8">
        <f>IF(N24&gt;=80,"GO",IF(N24&gt;=60,"CONDITIONAL","NO-GO"))</f>
        <v/>
      </c>
      <c r="P24" s="5" t="inlineStr">
        <is>
          <t>IN PROGRESS</t>
        </is>
      </c>
    </row>
    <row r="25">
      <c r="A25" s="9" t="n">
        <v>22</v>
      </c>
      <c r="B25" s="10" t="inlineStr">
        <is>
          <t>Housing Summons Package</t>
        </is>
      </c>
      <c r="C25" s="9" t="inlineStr">
        <is>
          <t>14th Circuit</t>
        </is>
      </c>
      <c r="D25" s="9" t="n">
        <v>8</v>
      </c>
      <c r="E25" s="9" t="n">
        <v>8</v>
      </c>
      <c r="F25" s="9" t="n">
        <v>8</v>
      </c>
      <c r="G25" s="9" t="n">
        <v>8</v>
      </c>
      <c r="H25" s="9" t="n">
        <v>8</v>
      </c>
      <c r="I25" s="9" t="n">
        <v>8</v>
      </c>
      <c r="J25" s="9" t="n">
        <v>8</v>
      </c>
      <c r="K25" s="9" t="n">
        <v>8</v>
      </c>
      <c r="L25" s="9" t="n">
        <v>8</v>
      </c>
      <c r="M25" s="9" t="n">
        <v>0</v>
      </c>
      <c r="N25" s="11">
        <f>SUMPRODUCT($D$2:$M$2,D25:M25)*10</f>
        <v/>
      </c>
      <c r="O25" s="12">
        <f>IF(N25&gt;=80,"GO",IF(N25&gt;=60,"CONDITIONAL","NO-GO"))</f>
        <v/>
      </c>
      <c r="P25" s="9" t="inlineStr">
        <is>
          <t>IN PROGRESS</t>
        </is>
      </c>
    </row>
    <row r="26">
      <c r="A26" s="5" t="n">
        <v>23</v>
      </c>
      <c r="B26" s="6" t="inlineStr">
        <is>
          <t>Malpractice v. Martini</t>
        </is>
      </c>
      <c r="C26" s="5" t="inlineStr">
        <is>
          <t>14th Circuit</t>
        </is>
      </c>
      <c r="D26" s="5" t="n">
        <v>7</v>
      </c>
      <c r="E26" s="5" t="n">
        <v>7</v>
      </c>
      <c r="F26" s="5" t="n">
        <v>7</v>
      </c>
      <c r="G26" s="5" t="n">
        <v>7</v>
      </c>
      <c r="H26" s="5" t="n">
        <v>7</v>
      </c>
      <c r="I26" s="5" t="n">
        <v>7</v>
      </c>
      <c r="J26" s="5" t="n">
        <v>7</v>
      </c>
      <c r="K26" s="5" t="n">
        <v>7</v>
      </c>
      <c r="L26" s="5" t="n">
        <v>7</v>
      </c>
      <c r="M26" s="5" t="n">
        <v>7</v>
      </c>
      <c r="N26" s="7">
        <f>SUMPRODUCT($D$2:$M$2,D26:M26)*10</f>
        <v/>
      </c>
      <c r="O26" s="8">
        <f>IF(N26&gt;=80,"GO",IF(N26&gt;=60,"CONDITIONAL","NO-GO"))</f>
        <v/>
      </c>
      <c r="P26" s="5" t="inlineStr">
        <is>
          <t>IN PROGRESS</t>
        </is>
      </c>
    </row>
    <row r="27">
      <c r="A27" s="9" t="n">
        <v>24</v>
      </c>
      <c r="B27" s="10" t="inlineStr">
        <is>
          <t>MSC IFP Application</t>
        </is>
      </c>
      <c r="C27" s="9" t="inlineStr">
        <is>
          <t>MSC</t>
        </is>
      </c>
      <c r="D27" s="9" t="n">
        <v>6</v>
      </c>
      <c r="E27" s="9" t="n">
        <v>6</v>
      </c>
      <c r="F27" s="9" t="n">
        <v>6</v>
      </c>
      <c r="G27" s="9" t="n">
        <v>6</v>
      </c>
      <c r="H27" s="9" t="n">
        <v>6</v>
      </c>
      <c r="I27" s="9" t="n">
        <v>6</v>
      </c>
      <c r="J27" s="9" t="n">
        <v>6</v>
      </c>
      <c r="K27" s="9" t="n">
        <v>5</v>
      </c>
      <c r="L27" s="9" t="n">
        <v>5</v>
      </c>
      <c r="M27" s="9" t="n">
        <v>10</v>
      </c>
      <c r="N27" s="11">
        <f>SUMPRODUCT($D$2:$M$2,D27:M27)*10</f>
        <v/>
      </c>
      <c r="O27" s="12">
        <f>IF(N27&gt;=80,"GO",IF(N27&gt;=60,"CONDITIONAL","NO-GO"))</f>
        <v/>
      </c>
      <c r="P27" s="9" t="inlineStr">
        <is>
          <t>IN PROGRESS</t>
        </is>
      </c>
    </row>
    <row r="28">
      <c r="A28" s="5" t="n">
        <v>25</v>
      </c>
      <c r="B28" s="6" t="inlineStr">
        <is>
          <t>MDHHS Complaint</t>
        </is>
      </c>
      <c r="C28" s="5" t="inlineStr">
        <is>
          <t>MDHHS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7" t="n">
        <v>0</v>
      </c>
      <c r="O28" s="8" t="inlineStr">
        <is>
          <t>NO-GO</t>
        </is>
      </c>
      <c r="P28" s="5" t="inlineStr">
        <is>
          <t>CANCELLED</t>
        </is>
      </c>
    </row>
    <row r="29">
      <c r="A29" s="9" t="n">
        <v>26</v>
      </c>
      <c r="B29" s="10" t="inlineStr">
        <is>
          <t>Malpractice Expert Affidavit</t>
        </is>
      </c>
      <c r="C29" s="9" t="inlineStr">
        <is>
          <t>N/A</t>
        </is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11" t="n">
        <v>0</v>
      </c>
      <c r="O29" s="12" t="inlineStr">
        <is>
          <t>NO-GO</t>
        </is>
      </c>
      <c r="P29" s="9" t="inlineStr">
        <is>
          <t>BLOCKED</t>
        </is>
      </c>
    </row>
  </sheetData>
  <mergeCells count="1">
    <mergeCell ref="A1:N1"/>
  </mergeCells>
  <conditionalFormatting sqref="O4:O29">
    <cfRule type="cellIs" priority="1" operator="equal" dxfId="0">
      <formula>"GO"</formula>
    </cfRule>
    <cfRule type="cellIs" priority="2" operator="equal" dxfId="1">
      <formula>"CONDITIONAL"</formula>
    </cfRule>
    <cfRule type="cellIs" priority="3" operator="equal" dxfId="2">
      <formula>"NO-GO"</formula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7C3AED"/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  <col width="48" customWidth="1" min="4" max="4"/>
    <col width="42" customWidth="1" min="5" max="5"/>
    <col width="42" customWidth="1" min="6" max="6"/>
  </cols>
  <sheetData>
    <row r="1">
      <c r="A1" s="13" t="inlineStr">
        <is>
          <t>QA DIMENSION DEFINITIONS — 2026-03-12</t>
        </is>
      </c>
    </row>
    <row r="2">
      <c r="A2" s="4" t="inlineStr">
        <is>
          <t>Dim</t>
        </is>
      </c>
      <c r="B2" s="4" t="inlineStr">
        <is>
          <t>Dimension Name</t>
        </is>
      </c>
      <c r="C2" s="4" t="inlineStr">
        <is>
          <t>Weight</t>
        </is>
      </c>
      <c r="D2" s="4" t="inlineStr">
        <is>
          <t>Description</t>
        </is>
      </c>
      <c r="E2" s="4" t="inlineStr">
        <is>
          <t>Check Method</t>
        </is>
      </c>
      <c r="F2" s="4" t="inlineStr">
        <is>
          <t>Pass Criteria</t>
        </is>
      </c>
    </row>
    <row r="3">
      <c r="A3" s="14" t="inlineStr">
        <is>
          <t>A</t>
        </is>
      </c>
      <c r="B3" s="14" t="inlineStr">
        <is>
          <t>Citations Verified</t>
        </is>
      </c>
      <c r="C3" s="15" t="n">
        <v>0.15</v>
      </c>
      <c r="D3" s="14" t="inlineStr">
        <is>
          <t>All legal citations verified against Westlaw/Casetext</t>
        </is>
      </c>
      <c r="E3" s="14" t="inlineStr">
        <is>
          <t>Automated citation parser + manual spot-check</t>
        </is>
      </c>
      <c r="F3" s="14" t="inlineStr">
        <is>
          <t>100% citations resolve to valid authority</t>
        </is>
      </c>
    </row>
    <row r="4">
      <c r="A4" s="16" t="inlineStr">
        <is>
          <t>B</t>
        </is>
      </c>
      <c r="B4" s="16" t="inlineStr">
        <is>
          <t>Placeholders Resolved</t>
        </is>
      </c>
      <c r="C4" s="17" t="n">
        <v>0.12</v>
      </c>
      <c r="D4" s="16" t="inlineStr">
        <is>
          <t>All [PLACEHOLDER] tags resolved with real content</t>
        </is>
      </c>
      <c r="E4" s="16" t="inlineStr">
        <is>
          <t>Regex scan for bracket patterns</t>
        </is>
      </c>
      <c r="F4" s="16" t="inlineStr">
        <is>
          <t>Zero unresolved placeholders in final draft</t>
        </is>
      </c>
    </row>
    <row r="5">
      <c r="A5" s="14" t="inlineStr">
        <is>
          <t>C</t>
        </is>
      </c>
      <c r="B5" s="14" t="inlineStr">
        <is>
          <t>Party Names Correct</t>
        </is>
      </c>
      <c r="C5" s="15" t="n">
        <v>0.1</v>
      </c>
      <c r="D5" s="14" t="inlineStr">
        <is>
          <t>All party names match case caption exactly</t>
        </is>
      </c>
      <c r="E5" s="14" t="inlineStr">
        <is>
          <t>NER extraction vs. case caption comparison</t>
        </is>
      </c>
      <c r="F5" s="14" t="inlineStr">
        <is>
          <t>100% name match with docket caption</t>
        </is>
      </c>
    </row>
    <row r="6">
      <c r="A6" s="16" t="inlineStr">
        <is>
          <t>D</t>
        </is>
      </c>
      <c r="B6" s="16" t="inlineStr">
        <is>
          <t>Case Numbers Correct</t>
        </is>
      </c>
      <c r="C6" s="17" t="n">
        <v>0.1</v>
      </c>
      <c r="D6" s="16" t="inlineStr">
        <is>
          <t>Case numbers match court records</t>
        </is>
      </c>
      <c r="E6" s="16" t="inlineStr">
        <is>
          <t>Pattern match + court API verification</t>
        </is>
      </c>
      <c r="F6" s="16" t="inlineStr">
        <is>
          <t>All case numbers match assigned docket</t>
        </is>
      </c>
    </row>
    <row r="7">
      <c r="A7" s="14" t="inlineStr">
        <is>
          <t>E</t>
        </is>
      </c>
      <c r="B7" s="14" t="inlineStr">
        <is>
          <t>MCR Format Compliance</t>
        </is>
      </c>
      <c r="C7" s="15" t="n">
        <v>0.1</v>
      </c>
      <c r="D7" s="14" t="inlineStr">
        <is>
          <t>Document format meets Michigan Court Rules</t>
        </is>
      </c>
      <c r="E7" s="14" t="inlineStr">
        <is>
          <t>Template validator against MCR requirements</t>
        </is>
      </c>
      <c r="F7" s="14" t="inlineStr">
        <is>
          <t>Margins, font, spacing per MCR 7.212</t>
        </is>
      </c>
    </row>
    <row r="8">
      <c r="A8" s="16" t="inlineStr">
        <is>
          <t>F</t>
        </is>
      </c>
      <c r="B8" s="16" t="inlineStr">
        <is>
          <t>Evidence Linked</t>
        </is>
      </c>
      <c r="C8" s="17" t="n">
        <v>0.12</v>
      </c>
      <c r="D8" s="16" t="inlineStr">
        <is>
          <t>All factual claims linked to evidence exhibits</t>
        </is>
      </c>
      <c r="E8" s="16" t="inlineStr">
        <is>
          <t>Cross-reference claims → exhibit index</t>
        </is>
      </c>
      <c r="F8" s="16" t="inlineStr">
        <is>
          <t>Every factual assertion has exhibit citation</t>
        </is>
      </c>
    </row>
    <row r="9">
      <c r="A9" s="14" t="inlineStr">
        <is>
          <t>G</t>
        </is>
      </c>
      <c r="B9" s="14" t="inlineStr">
        <is>
          <t>Authority Chain Complete</t>
        </is>
      </c>
      <c r="C9" s="15" t="n">
        <v>0.1</v>
      </c>
      <c r="D9" s="14" t="inlineStr">
        <is>
          <t>Legal arguments supported by complete authority chain</t>
        </is>
      </c>
      <c r="E9" s="14" t="inlineStr">
        <is>
          <t>Authority graph completeness check</t>
        </is>
      </c>
      <c r="F9" s="14" t="inlineStr">
        <is>
          <t>Each legal argument has binding authority</t>
        </is>
      </c>
    </row>
    <row r="10">
      <c r="A10" s="16" t="inlineStr">
        <is>
          <t>H</t>
        </is>
      </c>
      <c r="B10" s="16" t="inlineStr">
        <is>
          <t>Proof of Service Ready</t>
        </is>
      </c>
      <c r="C10" s="17" t="n">
        <v>0.08</v>
      </c>
      <c r="D10" s="16" t="inlineStr">
        <is>
          <t>Proof of service drafted and ready for execution</t>
        </is>
      </c>
      <c r="E10" s="16" t="inlineStr">
        <is>
          <t>Service template completeness check</t>
        </is>
      </c>
      <c r="F10" s="16" t="inlineStr">
        <is>
          <t>POS form complete with all party addresses</t>
        </is>
      </c>
    </row>
    <row r="11">
      <c r="A11" s="14" t="inlineStr">
        <is>
          <t>I</t>
        </is>
      </c>
      <c r="B11" s="14" t="inlineStr">
        <is>
          <t>SCAO Forms Included</t>
        </is>
      </c>
      <c r="C11" s="15" t="n">
        <v>0.08</v>
      </c>
      <c r="D11" s="14" t="inlineStr">
        <is>
          <t>Required SCAO/court forms attached</t>
        </is>
      </c>
      <c r="E11" s="14" t="inlineStr">
        <is>
          <t>Form checklist vs. filing type requirements</t>
        </is>
      </c>
      <c r="F11" s="14" t="inlineStr">
        <is>
          <t>All mandatory forms present and filled</t>
        </is>
      </c>
    </row>
    <row r="12">
      <c r="A12" s="16" t="inlineStr">
        <is>
          <t>J</t>
        </is>
      </c>
      <c r="B12" s="16" t="inlineStr">
        <is>
          <t>Signature Block Complete</t>
        </is>
      </c>
      <c r="C12" s="17" t="n">
        <v>0.05</v>
      </c>
      <c r="D12" s="16" t="inlineStr">
        <is>
          <t>Signature block with all required elements</t>
        </is>
      </c>
      <c r="E12" s="16" t="inlineStr">
        <is>
          <t>Template field validation</t>
        </is>
      </c>
      <c r="F12" s="16" t="inlineStr">
        <is>
          <t>Name, address, bar#/SRL, date, signature line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A580C"/>
    <outlinePr summaryBelow="1" summaryRight="1"/>
    <pageSetUpPr/>
  </sheetPr>
  <dimension ref="A1:F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42" customWidth="1" min="3" max="3"/>
    <col width="14" customWidth="1" min="4" max="4"/>
    <col width="14" customWidth="1" min="5" max="5"/>
    <col width="48" customWidth="1" min="6" max="6"/>
  </cols>
  <sheetData>
    <row r="1">
      <c r="A1" s="13" t="inlineStr">
        <is>
          <t>PLACEHOLDER TRACKER — 2026-03-12</t>
        </is>
      </c>
    </row>
    <row r="2">
      <c r="A2" s="4" t="inlineStr">
        <is>
          <t>Filing #</t>
        </is>
      </c>
      <c r="B2" s="4" t="inlineStr">
        <is>
          <t>Filing Name</t>
        </is>
      </c>
      <c r="C2" s="4" t="inlineStr">
        <is>
          <t>Placeholder Text</t>
        </is>
      </c>
      <c r="D2" s="4" t="inlineStr">
        <is>
          <t>Category</t>
        </is>
      </c>
      <c r="E2" s="4" t="inlineStr">
        <is>
          <t>Status</t>
        </is>
      </c>
      <c r="F2" s="4" t="inlineStr">
        <is>
          <t>Resolution</t>
        </is>
      </c>
    </row>
    <row r="3">
      <c r="A3" s="14" t="n">
        <v>2</v>
      </c>
      <c r="B3" s="14" t="inlineStr">
        <is>
          <t>Emergency PT Motion</t>
        </is>
      </c>
      <c r="C3" s="14" t="inlineStr">
        <is>
          <t>[ANDREW_REQUIRED: Emergency date]</t>
        </is>
      </c>
      <c r="D3" s="14" t="inlineStr">
        <is>
          <t>Date</t>
        </is>
      </c>
      <c r="E3" s="18" t="inlineStr">
        <is>
          <t>Open</t>
        </is>
      </c>
      <c r="F3" s="14" t="inlineStr"/>
    </row>
    <row r="4">
      <c r="A4" s="16" t="n">
        <v>3</v>
      </c>
      <c r="B4" s="16" t="inlineStr">
        <is>
          <t>22-Count Housing Mega</t>
        </is>
      </c>
      <c r="C4" s="16" t="inlineStr">
        <is>
          <t>[ANDREW_REQUIRED: Lease agreement date]</t>
        </is>
      </c>
      <c r="D4" s="16" t="inlineStr">
        <is>
          <t>Date</t>
        </is>
      </c>
      <c r="E4" s="18" t="inlineStr">
        <is>
          <t>Open</t>
        </is>
      </c>
      <c r="F4" s="16" t="inlineStr"/>
    </row>
    <row r="5">
      <c r="A5" s="14" t="n">
        <v>3</v>
      </c>
      <c r="B5" s="14" t="inlineStr">
        <is>
          <t>22-Count Housing Mega</t>
        </is>
      </c>
      <c r="C5" s="14" t="inlineStr">
        <is>
          <t>[ANDREW_REQUIRED: Rent amount]</t>
        </is>
      </c>
      <c r="D5" s="14" t="inlineStr">
        <is>
          <t>Financial</t>
        </is>
      </c>
      <c r="E5" s="18" t="inlineStr">
        <is>
          <t>Open</t>
        </is>
      </c>
      <c r="F5" s="14" t="inlineStr"/>
    </row>
    <row r="6">
      <c r="A6" s="16" t="n">
        <v>9</v>
      </c>
      <c r="B6" s="16" t="inlineStr">
        <is>
          <t>Disqualification Motion</t>
        </is>
      </c>
      <c r="C6" s="16" t="inlineStr">
        <is>
          <t>[ANDREW_REQUIRED: Bias incident date]</t>
        </is>
      </c>
      <c r="D6" s="16" t="inlineStr">
        <is>
          <t>Date</t>
        </is>
      </c>
      <c r="E6" s="18" t="inlineStr">
        <is>
          <t>Open</t>
        </is>
      </c>
      <c r="F6" s="16" t="inlineStr"/>
    </row>
    <row r="7">
      <c r="A7" s="14" t="n">
        <v>14</v>
      </c>
      <c r="B7" s="14" t="inlineStr">
        <is>
          <t>Federal Housing (FHA+RICO)</t>
        </is>
      </c>
      <c r="C7" s="14" t="inlineStr">
        <is>
          <t>[ANDREW_REQUIRED: HUD complaint #]</t>
        </is>
      </c>
      <c r="D7" s="14" t="inlineStr">
        <is>
          <t>Reference</t>
        </is>
      </c>
      <c r="E7" s="18" t="inlineStr">
        <is>
          <t>Open</t>
        </is>
      </c>
      <c r="F7" s="14" t="inlineStr"/>
    </row>
    <row r="8">
      <c r="A8" s="16" t="n">
        <v>14</v>
      </c>
      <c r="B8" s="16" t="inlineStr">
        <is>
          <t>Federal Housing (FHA+RICO)</t>
        </is>
      </c>
      <c r="C8" s="16" t="inlineStr">
        <is>
          <t>[ANDREW_REQUIRED: RICO predicate acts]</t>
        </is>
      </c>
      <c r="D8" s="16" t="inlineStr">
        <is>
          <t>Legal</t>
        </is>
      </c>
      <c r="E8" s="18" t="inlineStr">
        <is>
          <t>Open</t>
        </is>
      </c>
      <c r="F8" s="16" t="inlineStr"/>
    </row>
    <row r="9">
      <c r="A9" s="14" t="n">
        <v>15</v>
      </c>
      <c r="B9" s="14" t="inlineStr">
        <is>
          <t>Watson 13-Count Tort</t>
        </is>
      </c>
      <c r="C9" s="14" t="inlineStr">
        <is>
          <t>[ANDREW_REQUIRED: Tort demand amount]</t>
        </is>
      </c>
      <c r="D9" s="14" t="inlineStr">
        <is>
          <t>Financial</t>
        </is>
      </c>
      <c r="E9" s="18" t="inlineStr">
        <is>
          <t>Open</t>
        </is>
      </c>
      <c r="F9" s="14" t="inlineStr"/>
    </row>
    <row r="10">
      <c r="A10" s="16" t="n">
        <v>17</v>
      </c>
      <c r="B10" s="16" t="inlineStr">
        <is>
          <t>Federal §1983 Consolidated</t>
        </is>
      </c>
      <c r="C10" s="16" t="inlineStr">
        <is>
          <t>[ANDREW_REQUIRED: Federal case #]</t>
        </is>
      </c>
      <c r="D10" s="16" t="inlineStr">
        <is>
          <t>Reference</t>
        </is>
      </c>
      <c r="E10" s="18" t="inlineStr">
        <is>
          <t>Open</t>
        </is>
      </c>
      <c r="F10" s="16" t="inlineStr"/>
    </row>
    <row r="11">
      <c r="A11" s="14" t="n">
        <v>18</v>
      </c>
      <c r="B11" s="14" t="inlineStr">
        <is>
          <t>HUD Fair Housing Admin</t>
        </is>
      </c>
      <c r="C11" s="14" t="inlineStr">
        <is>
          <t>[ANDREW_REQUIRED: HUD filing date]</t>
        </is>
      </c>
      <c r="D11" s="14" t="inlineStr">
        <is>
          <t>Date</t>
        </is>
      </c>
      <c r="E11" s="18" t="inlineStr">
        <is>
          <t>Open</t>
        </is>
      </c>
      <c r="F11" s="14" t="inlineStr"/>
    </row>
    <row r="12">
      <c r="A12" s="16" t="n">
        <v>21</v>
      </c>
      <c r="B12" s="16" t="inlineStr">
        <is>
          <t>Admin Complaints (EGLE+AG)</t>
        </is>
      </c>
      <c r="C12" s="16" t="inlineStr">
        <is>
          <t>[ANDREW_REQUIRED: Violation dates]</t>
        </is>
      </c>
      <c r="D12" s="16" t="inlineStr">
        <is>
          <t>Date</t>
        </is>
      </c>
      <c r="E12" s="18" t="inlineStr">
        <is>
          <t>Open</t>
        </is>
      </c>
      <c r="F12" s="16" t="inlineStr"/>
    </row>
    <row r="13">
      <c r="A13" s="14" t="n">
        <v>22</v>
      </c>
      <c r="B13" s="14" t="inlineStr">
        <is>
          <t>Housing Summons Package</t>
        </is>
      </c>
      <c r="C13" s="14" t="inlineStr">
        <is>
          <t>[ANDREW_REQUIRED: Service address]</t>
        </is>
      </c>
      <c r="D13" s="14" t="inlineStr">
        <is>
          <t>Address</t>
        </is>
      </c>
      <c r="E13" s="18" t="inlineStr">
        <is>
          <t>Open</t>
        </is>
      </c>
      <c r="F13" s="14" t="inlineStr"/>
    </row>
    <row r="14">
      <c r="A14" s="16" t="n">
        <v>23</v>
      </c>
      <c r="B14" s="16" t="inlineStr">
        <is>
          <t>Malpractice v. Martini</t>
        </is>
      </c>
      <c r="C14" s="16" t="inlineStr">
        <is>
          <t>[ANDREW_REQUIRED: Retainer date]</t>
        </is>
      </c>
      <c r="D14" s="16" t="inlineStr">
        <is>
          <t>Date</t>
        </is>
      </c>
      <c r="E14" s="18" t="inlineStr">
        <is>
          <t>Open</t>
        </is>
      </c>
      <c r="F14" s="16" t="inlineStr"/>
    </row>
    <row r="15">
      <c r="A15" s="14" t="n">
        <v>24</v>
      </c>
      <c r="B15" s="14" t="inlineStr">
        <is>
          <t>MSC IFP Application</t>
        </is>
      </c>
      <c r="C15" s="14" t="inlineStr">
        <is>
          <t>[ANDREW_REQUIRED: Income documentation]</t>
        </is>
      </c>
      <c r="D15" s="14" t="inlineStr">
        <is>
          <t>Financial</t>
        </is>
      </c>
      <c r="E15" s="18" t="inlineStr">
        <is>
          <t>Open</t>
        </is>
      </c>
      <c r="F15" s="14" t="inlineStr"/>
    </row>
    <row r="16">
      <c r="A16" s="16" t="n">
        <v>1</v>
      </c>
      <c r="B16" s="16" t="inlineStr">
        <is>
          <t>JTC v. McNeill</t>
        </is>
      </c>
      <c r="C16" s="16" t="inlineStr">
        <is>
          <t>[PLACEHOLDER: JTC filing date]</t>
        </is>
      </c>
      <c r="D16" s="16" t="inlineStr">
        <is>
          <t>Date</t>
        </is>
      </c>
      <c r="E16" s="19" t="inlineStr">
        <is>
          <t>Resolved</t>
        </is>
      </c>
      <c r="F16" s="16" t="inlineStr">
        <is>
          <t>2025-01-15 — confirmed from docket</t>
        </is>
      </c>
    </row>
    <row r="17">
      <c r="A17" s="14" t="n">
        <v>1</v>
      </c>
      <c r="B17" s="14" t="inlineStr">
        <is>
          <t>JTC v. McNeill</t>
        </is>
      </c>
      <c r="C17" s="14" t="inlineStr">
        <is>
          <t>[PLACEHOLDER: Judge assignment]</t>
        </is>
      </c>
      <c r="D17" s="14" t="inlineStr">
        <is>
          <t>Reference</t>
        </is>
      </c>
      <c r="E17" s="19" t="inlineStr">
        <is>
          <t>Resolved</t>
        </is>
      </c>
      <c r="F17" s="14" t="inlineStr">
        <is>
          <t>Hon. Chief Justice — per JTC docket</t>
        </is>
      </c>
    </row>
    <row r="18">
      <c r="A18" s="16" t="n">
        <v>4</v>
      </c>
      <c r="B18" s="16" t="inlineStr">
        <is>
          <t>MSC Emergency Application</t>
        </is>
      </c>
      <c r="C18" s="16" t="inlineStr">
        <is>
          <t>[PLACEHOLDER: Application fee]</t>
        </is>
      </c>
      <c r="D18" s="16" t="inlineStr">
        <is>
          <t>Financial</t>
        </is>
      </c>
      <c r="E18" s="19" t="inlineStr">
        <is>
          <t>Resolved</t>
        </is>
      </c>
      <c r="F18" s="16" t="inlineStr">
        <is>
          <t>$375.00 — per MSC fee schedule 2025</t>
        </is>
      </c>
    </row>
    <row r="19">
      <c r="A19" s="14" t="n">
        <v>13</v>
      </c>
      <c r="B19" s="14" t="inlineStr">
        <is>
          <t>COA Brief 366810</t>
        </is>
      </c>
      <c r="C19" s="14" t="inlineStr">
        <is>
          <t>[PLACEHOLDER: COA docket entry]</t>
        </is>
      </c>
      <c r="D19" s="14" t="inlineStr">
        <is>
          <t>Reference</t>
        </is>
      </c>
      <c r="E19" s="19" t="inlineStr">
        <is>
          <t>Resolved</t>
        </is>
      </c>
      <c r="F19" s="14" t="inlineStr">
        <is>
          <t>Dkt 366810 — confirmed 2025-06-01</t>
        </is>
      </c>
    </row>
    <row r="20">
      <c r="A20" s="16" t="n">
        <v>11</v>
      </c>
      <c r="B20" s="16" t="inlineStr">
        <is>
          <t>Shady Oaks Circuit</t>
        </is>
      </c>
      <c r="C20" s="16" t="inlineStr">
        <is>
          <t>[PLACEHOLDER: Property address]</t>
        </is>
      </c>
      <c r="D20" s="16" t="inlineStr">
        <is>
          <t>Address</t>
        </is>
      </c>
      <c r="E20" s="19" t="inlineStr">
        <is>
          <t>Resolved</t>
        </is>
      </c>
      <c r="F20" s="16" t="inlineStr">
        <is>
          <t>310 Shady Oaks Dr, Muskegon MI 49442</t>
        </is>
      </c>
    </row>
  </sheetData>
  <mergeCells count="1">
    <mergeCell ref="A1:F1"/>
  </mergeCells>
  <conditionalFormatting sqref="E3:E70">
    <cfRule type="cellIs" priority="1" operator="equal" dxfId="2">
      <formula>"Open"</formula>
    </cfRule>
    <cfRule type="cellIs" priority="2" operator="equal" dxfId="0">
      <formula>"Resolved"</formula>
    </cfRule>
    <cfRule type="cellIs" priority="3" operator="equal" dxfId="1">
      <formula>"N/A"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59669"/>
    <outlinePr summaryBelow="1" summaryRight="1"/>
    <pageSetUpPr/>
  </sheetPr>
  <dimension ref="A1:D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</cols>
  <sheetData>
    <row r="1">
      <c r="A1" s="20" t="inlineStr">
        <is>
          <t>SUMMARY DASHBOARD — 2026-03-12</t>
        </is>
      </c>
    </row>
    <row r="3">
      <c r="A3" s="21" t="inlineStr">
        <is>
          <t>KEY METRICS</t>
        </is>
      </c>
    </row>
    <row r="4">
      <c r="A4" s="4" t="inlineStr">
        <is>
          <t>Metric</t>
        </is>
      </c>
      <c r="B4" s="4" t="inlineStr">
        <is>
          <t>Value</t>
        </is>
      </c>
    </row>
    <row r="5">
      <c r="A5" s="22" t="inlineStr">
        <is>
          <t>Total Filing Packages</t>
        </is>
      </c>
      <c r="B5" s="23">
        <f>COUNTA('Scoreboard'!B4:B29)</f>
        <v/>
      </c>
    </row>
    <row r="6">
      <c r="A6" s="24" t="inlineStr">
        <is>
          <t>GO Count</t>
        </is>
      </c>
      <c r="B6" s="25">
        <f>COUNTIF('Scoreboard'!O4:O29,"GO")</f>
        <v/>
      </c>
    </row>
    <row r="7">
      <c r="A7" s="22" t="inlineStr">
        <is>
          <t>CONDITIONAL Count</t>
        </is>
      </c>
      <c r="B7" s="23">
        <f>COUNTIF('Scoreboard'!O4:O29,"CONDITIONAL")</f>
        <v/>
      </c>
    </row>
    <row r="8">
      <c r="A8" s="24" t="inlineStr">
        <is>
          <t>NO-GO Count</t>
        </is>
      </c>
      <c r="B8" s="25">
        <f>COUNTIF('Scoreboard'!O4:O29,"NO-GO")</f>
        <v/>
      </c>
    </row>
    <row r="9">
      <c r="A9" s="22" t="inlineStr">
        <is>
          <t>Average Readiness Score</t>
        </is>
      </c>
      <c r="B9" s="26">
        <f>AVERAGE('Scoreboard'!N4:N29)</f>
        <v/>
      </c>
    </row>
    <row r="10">
      <c r="A10" s="24" t="inlineStr">
        <is>
          <t>Highest Score</t>
        </is>
      </c>
      <c r="B10" s="27">
        <f>MAX('Scoreboard'!N4:N29)</f>
        <v/>
      </c>
    </row>
    <row r="11">
      <c r="A11" s="22" t="inlineStr">
        <is>
          <t>Top Package</t>
        </is>
      </c>
      <c r="B11" s="23">
        <f>INDEX('Scoreboard'!B4:B29,MATCH(MAX('Scoreboard'!N4:N29),'Scoreboard'!N4:N29,0))</f>
        <v/>
      </c>
    </row>
    <row r="12">
      <c r="A12" s="24" t="inlineStr">
        <is>
          <t>Lowest Score (non-zero)</t>
        </is>
      </c>
      <c r="B12" s="27">
        <f>MINIFS('Scoreboard'!N4:N29,'Scoreboard'!N4:N29,"&gt;0")</f>
        <v/>
      </c>
    </row>
    <row r="13">
      <c r="A13" s="22" t="inlineStr">
        <is>
          <t>Lowest Package</t>
        </is>
      </c>
      <c r="B13" s="23">
        <f>INDEX('Scoreboard'!B4:B29,MATCH(MINIFS('Scoreboard'!N4:N29,'Scoreboard'!N4:N29,"&gt;0"),'Scoreboard'!N4:N29,0))</f>
        <v/>
      </c>
    </row>
    <row r="16">
      <c r="A16" s="21" t="inlineStr">
        <is>
          <t>PACKAGES BY COURT</t>
        </is>
      </c>
    </row>
    <row r="17">
      <c r="A17" s="4" t="inlineStr">
        <is>
          <t>Court / Forum</t>
        </is>
      </c>
      <c r="B17" s="4" t="inlineStr">
        <is>
          <t>Count</t>
        </is>
      </c>
      <c r="C17" s="4" t="inlineStr">
        <is>
          <t>GO</t>
        </is>
      </c>
      <c r="D17" s="4" t="inlineStr">
        <is>
          <t>Avg Score</t>
        </is>
      </c>
    </row>
    <row r="18">
      <c r="A18" s="22" t="inlineStr">
        <is>
          <t>14th Circuit</t>
        </is>
      </c>
      <c r="B18" s="23">
        <f>COUNTIF('Scoreboard'!C4:C29,"14th Circuit")</f>
        <v/>
      </c>
      <c r="C18" s="23">
        <f>COUNTIFS('Scoreboard'!C4:C29,"14th Circuit",'Scoreboard'!O4:O29,"GO")</f>
        <v/>
      </c>
      <c r="D18" s="26">
        <f>IFERROR(AVERAGEIF('Scoreboard'!C4:C29,"14th Circuit",'Scoreboard'!N4:N29),0)</f>
        <v/>
      </c>
    </row>
    <row r="19">
      <c r="A19" s="24" t="inlineStr">
        <is>
          <t>AGC</t>
        </is>
      </c>
      <c r="B19" s="25">
        <f>COUNTIF('Scoreboard'!C4:C29,"AGC")</f>
        <v/>
      </c>
      <c r="C19" s="25">
        <f>COUNTIFS('Scoreboard'!C4:C29,"AGC",'Scoreboard'!O4:O29,"GO")</f>
        <v/>
      </c>
      <c r="D19" s="27">
        <f>IFERROR(AVERAGEIF('Scoreboard'!C4:C29,"AGC",'Scoreboard'!N4:N29),0)</f>
        <v/>
      </c>
    </row>
    <row r="20">
      <c r="A20" s="22" t="inlineStr">
        <is>
          <t>COA</t>
        </is>
      </c>
      <c r="B20" s="23">
        <f>COUNTIF('Scoreboard'!C4:C29,"COA")</f>
        <v/>
      </c>
      <c r="C20" s="23">
        <f>COUNTIFS('Scoreboard'!C4:C29,"COA",'Scoreboard'!O4:O29,"GO")</f>
        <v/>
      </c>
      <c r="D20" s="26">
        <f>IFERROR(AVERAGEIF('Scoreboard'!C4:C29,"COA",'Scoreboard'!N4:N29),0)</f>
        <v/>
      </c>
    </row>
    <row r="21">
      <c r="A21" s="24" t="inlineStr">
        <is>
          <t>EGLE/AG</t>
        </is>
      </c>
      <c r="B21" s="25">
        <f>COUNTIF('Scoreboard'!C4:C29,"EGLE/AG")</f>
        <v/>
      </c>
      <c r="C21" s="25">
        <f>COUNTIFS('Scoreboard'!C4:C29,"EGLE/AG",'Scoreboard'!O4:O29,"GO")</f>
        <v/>
      </c>
      <c r="D21" s="27">
        <f>IFERROR(AVERAGEIF('Scoreboard'!C4:C29,"EGLE/AG",'Scoreboard'!N4:N29),0)</f>
        <v/>
      </c>
    </row>
    <row r="22">
      <c r="A22" s="22" t="inlineStr">
        <is>
          <t>HUD</t>
        </is>
      </c>
      <c r="B22" s="23">
        <f>COUNTIF('Scoreboard'!C4:C29,"HUD")</f>
        <v/>
      </c>
      <c r="C22" s="23">
        <f>COUNTIFS('Scoreboard'!C4:C29,"HUD",'Scoreboard'!O4:O29,"GO")</f>
        <v/>
      </c>
      <c r="D22" s="26">
        <f>IFERROR(AVERAGEIF('Scoreboard'!C4:C29,"HUD",'Scoreboard'!N4:N29),0)</f>
        <v/>
      </c>
    </row>
    <row r="23">
      <c r="A23" s="24" t="inlineStr">
        <is>
          <t>JTC</t>
        </is>
      </c>
      <c r="B23" s="25">
        <f>COUNTIF('Scoreboard'!C4:C29,"JTC")</f>
        <v/>
      </c>
      <c r="C23" s="25">
        <f>COUNTIFS('Scoreboard'!C4:C29,"JTC",'Scoreboard'!O4:O29,"GO")</f>
        <v/>
      </c>
      <c r="D23" s="27">
        <f>IFERROR(AVERAGEIF('Scoreboard'!C4:C29,"JTC",'Scoreboard'!N4:N29),0)</f>
        <v/>
      </c>
    </row>
    <row r="24">
      <c r="A24" s="22" t="inlineStr">
        <is>
          <t>LARA</t>
        </is>
      </c>
      <c r="B24" s="23">
        <f>COUNTIF('Scoreboard'!C4:C29,"LARA")</f>
        <v/>
      </c>
      <c r="C24" s="23">
        <f>COUNTIFS('Scoreboard'!C4:C29,"LARA",'Scoreboard'!O4:O29,"GO")</f>
        <v/>
      </c>
      <c r="D24" s="26">
        <f>IFERROR(AVERAGEIF('Scoreboard'!C4:C29,"LARA",'Scoreboard'!N4:N29),0)</f>
        <v/>
      </c>
    </row>
    <row r="25">
      <c r="A25" s="24" t="inlineStr">
        <is>
          <t>MDHHS</t>
        </is>
      </c>
      <c r="B25" s="25">
        <f>COUNTIF('Scoreboard'!C4:C29,"MDHHS")</f>
        <v/>
      </c>
      <c r="C25" s="25">
        <f>COUNTIFS('Scoreboard'!C4:C29,"MDHHS",'Scoreboard'!O4:O29,"GO")</f>
        <v/>
      </c>
      <c r="D25" s="27">
        <f>IFERROR(AVERAGEIF('Scoreboard'!C4:C29,"MDHHS",'Scoreboard'!N4:N29),0)</f>
        <v/>
      </c>
    </row>
    <row r="26">
      <c r="A26" s="22" t="inlineStr">
        <is>
          <t>MSC</t>
        </is>
      </c>
      <c r="B26" s="23">
        <f>COUNTIF('Scoreboard'!C4:C29,"MSC")</f>
        <v/>
      </c>
      <c r="C26" s="23">
        <f>COUNTIFS('Scoreboard'!C4:C29,"MSC",'Scoreboard'!O4:O29,"GO")</f>
        <v/>
      </c>
      <c r="D26" s="26">
        <f>IFERROR(AVERAGEIF('Scoreboard'!C4:C29,"MSC",'Scoreboard'!N4:N29),0)</f>
        <v/>
      </c>
    </row>
    <row r="27">
      <c r="A27" s="24" t="inlineStr">
        <is>
          <t>Multi-Forum</t>
        </is>
      </c>
      <c r="B27" s="25">
        <f>COUNTIF('Scoreboard'!C4:C29,"Multi-Forum")</f>
        <v/>
      </c>
      <c r="C27" s="25">
        <f>COUNTIFS('Scoreboard'!C4:C29,"Multi-Forum",'Scoreboard'!O4:O29,"GO")</f>
        <v/>
      </c>
      <c r="D27" s="27">
        <f>IFERROR(AVERAGEIF('Scoreboard'!C4:C29,"Multi-Forum",'Scoreboard'!N4:N29),0)</f>
        <v/>
      </c>
    </row>
    <row r="28">
      <c r="A28" s="22" t="inlineStr">
        <is>
          <t>N/A</t>
        </is>
      </c>
      <c r="B28" s="23">
        <f>COUNTIF('Scoreboard'!C4:C29,"N/A")</f>
        <v/>
      </c>
      <c r="C28" s="23">
        <f>COUNTIFS('Scoreboard'!C4:C29,"N/A",'Scoreboard'!O4:O29,"GO")</f>
        <v/>
      </c>
      <c r="D28" s="26">
        <f>IFERROR(AVERAGEIF('Scoreboard'!C4:C29,"N/A",'Scoreboard'!N4:N29),0)</f>
        <v/>
      </c>
    </row>
    <row r="29">
      <c r="A29" s="24" t="inlineStr">
        <is>
          <t>W.D. Michigan</t>
        </is>
      </c>
      <c r="B29" s="25">
        <f>COUNTIF('Scoreboard'!C4:C29,"W.D. Michigan")</f>
        <v/>
      </c>
      <c r="C29" s="25">
        <f>COUNTIFS('Scoreboard'!C4:C29,"W.D. Michigan",'Scoreboard'!O4:O29,"GO")</f>
        <v/>
      </c>
      <c r="D29" s="27">
        <f>IFERROR(AVERAGEIF('Scoreboard'!C4:C29,"W.D. Michigan",'Scoreboard'!N4:N29),0)</f>
        <v/>
      </c>
    </row>
    <row r="32">
      <c r="A32" s="21" t="inlineStr">
        <is>
          <t>PLACEHOLDER STATUS</t>
        </is>
      </c>
    </row>
    <row r="33">
      <c r="A33" s="4" t="inlineStr">
        <is>
          <t>Status</t>
        </is>
      </c>
      <c r="B33" s="4" t="inlineStr">
        <is>
          <t>Count</t>
        </is>
      </c>
    </row>
    <row r="34">
      <c r="A34" s="22" t="inlineStr">
        <is>
          <t>Total Placeholders</t>
        </is>
      </c>
      <c r="B34" s="23">
        <f>COUNTA('Placeholder Tracker'!C3:C20)</f>
        <v/>
      </c>
    </row>
    <row r="35">
      <c r="A35" s="24" t="inlineStr">
        <is>
          <t>Open</t>
        </is>
      </c>
      <c r="B35" s="25">
        <f>COUNTIF('Placeholder Tracker'!E3:E20,"Open")</f>
        <v/>
      </c>
    </row>
    <row r="36">
      <c r="A36" s="22" t="inlineStr">
        <is>
          <t>Resolved</t>
        </is>
      </c>
      <c r="B36" s="23">
        <f>COUNTIF('Placeholder Tracker'!E3:E20,"Resolved")</f>
        <v/>
      </c>
    </row>
    <row r="37">
      <c r="A37" s="24" t="inlineStr">
        <is>
          <t>N/A</t>
        </is>
      </c>
      <c r="B37" s="25">
        <f>COUNTIF('Placeholder Tracker'!E3:E20,"N/A")</f>
        <v/>
      </c>
    </row>
  </sheetData>
  <mergeCells count="4">
    <mergeCell ref="A1:D1"/>
    <mergeCell ref="A32:D32"/>
    <mergeCell ref="A3:D3"/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2026-03-12T13:33:33Z</dcterms:created>
  <dcterms:modified xmlns:dcterms="http://purl.org/dc/terms/" xmlns:xsi="http://www.w3.org/2001/XMLSchema-instance" xsi:type="dcterms:W3CDTF">2026-03-12T13:33:33Z</dcterms:modified>
</cp:coreProperties>
</file>