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ne A — Watson Family" sheetId="2" state="visible" r:id="rId2"/>
    <sheet xmlns:r="http://schemas.openxmlformats.org/officeDocument/2006/relationships" name="Lane B — Housing" sheetId="3" state="visible" r:id="rId3"/>
    <sheet xmlns:r="http://schemas.openxmlformats.org/officeDocument/2006/relationships" name="Lane E — Misconduct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Per-Defendant Li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6A34A"/>
      <sz val="11"/>
    </font>
    <font>
      <name val="Calibri"/>
      <color rgb="00000000"/>
      <sz val="11"/>
    </font>
    <font>
      <name val="Calibri"/>
      <color rgb="002563EB"/>
      <sz val="11"/>
    </font>
    <font>
      <name val="Calibri"/>
      <b val="1"/>
      <color rgb="000F172A"/>
      <sz val="13"/>
    </font>
    <font>
      <name val="Calibri"/>
      <i val="1"/>
      <color rgb="000F172A"/>
      <sz val="10"/>
    </font>
    <font>
      <name val="Calibri"/>
      <i val="1"/>
      <sz val="10"/>
    </font>
    <font>
      <name val="Calibri"/>
      <b val="1"/>
      <color rgb="00DC2626"/>
      <sz val="11"/>
    </font>
    <font>
      <name val="Calibri"/>
      <b val="1"/>
      <color rgb="00DC2626"/>
      <sz val="12"/>
    </font>
    <font>
      <name val="Calibri"/>
      <i val="1"/>
      <color rgb="0094A3B8"/>
      <sz val="11"/>
    </font>
    <font>
      <name val="Calibri"/>
      <i val="1"/>
      <color rgb="007C3AED"/>
      <sz val="11"/>
    </font>
    <font>
      <name val="Calibri"/>
      <b val="1"/>
      <color rgb="007C3AED"/>
      <sz val="11"/>
    </font>
    <font>
      <name val="Calibri"/>
      <i val="1"/>
      <color rgb="0064748B"/>
      <sz val="11"/>
    </font>
    <font>
      <name val="Calibri"/>
      <i val="1"/>
      <color rgb="0064748B"/>
      <sz val="10"/>
    </font>
    <font>
      <name val="Calibri"/>
      <i val="1"/>
      <color rgb="00DC2626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top style="medium">
        <color rgb="00000000"/>
      </top>
    </border>
    <border>
      <bottom style="medium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8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8" fillId="4" borderId="2" pivotButton="0" quotePrefix="0" xfId="0"/>
    <xf numFmtId="164" fontId="4" fillId="4" borderId="2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4" fillId="6" borderId="0" pivotButton="0" quotePrefix="0" xfId="0"/>
    <xf numFmtId="164" fontId="6" fillId="6" borderId="0" applyAlignment="1" pivotButton="0" quotePrefix="0" xfId="0">
      <alignment horizontal="right" vertical="center"/>
    </xf>
    <xf numFmtId="0" fontId="12" fillId="0" borderId="0" pivotButton="0" quotePrefix="0" xfId="0"/>
    <xf numFmtId="164" fontId="4" fillId="6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right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center"/>
    </xf>
    <xf numFmtId="164" fontId="5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6" fillId="5" borderId="0" pivotButton="0" quotePrefix="0" xfId="0"/>
    <xf numFmtId="0" fontId="17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 fitToPage="1"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22" customWidth="1" min="5" max="5"/>
    <col width="20" customWidth="1" min="6" max="6"/>
    <col width="20" customWidth="1" min="7" max="7"/>
  </cols>
  <sheetData>
    <row r="1">
      <c r="A1" s="1" t="inlineStr">
        <is>
          <t>PIGORS v. ALL — Damages Analysis</t>
        </is>
      </c>
    </row>
    <row r="2">
      <c r="A2" s="2" t="inlineStr">
        <is>
          <t>Grand Total Dashboard — All Lanes</t>
        </is>
      </c>
    </row>
    <row r="4">
      <c r="A4" s="3" t="inlineStr">
        <is>
          <t>Category</t>
        </is>
      </c>
      <c r="B4" s="3" t="inlineStr">
        <is>
          <t>Lane A (Custody)</t>
        </is>
      </c>
      <c r="C4" s="3" t="inlineStr">
        <is>
          <t>Lane B (Housing)</t>
        </is>
      </c>
      <c r="D4" s="3" t="inlineStr">
        <is>
          <t>Lane D (PPO)</t>
        </is>
      </c>
      <c r="E4" s="3" t="inlineStr">
        <is>
          <t>Lane E (Misconduct)</t>
        </is>
      </c>
      <c r="F4" s="3" t="inlineStr">
        <is>
          <t>Federal §1983</t>
        </is>
      </c>
      <c r="G4" s="3" t="inlineStr">
        <is>
          <t>GRAND TOTAL</t>
        </is>
      </c>
    </row>
    <row r="5">
      <c r="A5" s="4" t="inlineStr">
        <is>
          <t>Economic Low</t>
        </is>
      </c>
      <c r="B5" s="5">
        <f>'Lane A — Watson Family'!C20</f>
        <v/>
      </c>
      <c r="C5" s="5">
        <f>'Lane B — Housing'!E31+'Lane B — Housing'!E42</f>
        <v/>
      </c>
      <c r="D5" s="6" t="n">
        <v>0</v>
      </c>
      <c r="E5" s="5">
        <f>'Lane E — Misconduct'!C16</f>
        <v/>
      </c>
      <c r="F5" s="5">
        <f>'Lane E — Misconduct'!C17</f>
        <v/>
      </c>
      <c r="G5" s="7">
        <f>SUM(B5:F5)</f>
        <v/>
      </c>
    </row>
    <row r="6">
      <c r="A6" s="4" t="inlineStr">
        <is>
          <t>Economic High</t>
        </is>
      </c>
      <c r="B6" s="5">
        <f>'Lane A — Watson Family'!D20</f>
        <v/>
      </c>
      <c r="C6" s="5">
        <f>'Lane B — Housing'!F31+'Lane B — Housing'!F42</f>
        <v/>
      </c>
      <c r="D6" s="6" t="n">
        <v>0</v>
      </c>
      <c r="E6" s="5">
        <f>'Lane E — Misconduct'!D16</f>
        <v/>
      </c>
      <c r="F6" s="5">
        <f>'Lane E — Misconduct'!D17</f>
        <v/>
      </c>
      <c r="G6" s="7">
        <f>SUM(B6:F6)</f>
        <v/>
      </c>
    </row>
    <row r="7">
      <c r="A7" s="4" t="inlineStr">
        <is>
          <t>Non-Economic Low</t>
        </is>
      </c>
      <c r="B7" s="5">
        <f>'Lane A — Watson Family'!E20</f>
        <v/>
      </c>
      <c r="C7" s="5">
        <f>'Lane B — Housing'!G31+'Lane B — Housing'!E43</f>
        <v/>
      </c>
      <c r="D7" s="6" t="n">
        <v>0</v>
      </c>
      <c r="E7" s="5">
        <f>'Lane E — Misconduct'!E16</f>
        <v/>
      </c>
      <c r="F7" s="5">
        <f>0</f>
        <v/>
      </c>
      <c r="G7" s="7">
        <f>SUM(B7:F7)</f>
        <v/>
      </c>
    </row>
    <row r="8">
      <c r="A8" s="4" t="inlineStr">
        <is>
          <t>Non-Economic High</t>
        </is>
      </c>
      <c r="B8" s="5">
        <f>'Lane A — Watson Family'!F20</f>
        <v/>
      </c>
      <c r="C8" s="5">
        <f>'Lane B — Housing'!H31+'Lane B — Housing'!F43</f>
        <v/>
      </c>
      <c r="D8" s="6" t="n">
        <v>0</v>
      </c>
      <c r="E8" s="5">
        <f>'Lane E — Misconduct'!F16</f>
        <v/>
      </c>
      <c r="F8" s="5">
        <f>0</f>
        <v/>
      </c>
      <c r="G8" s="7">
        <f>SUM(B8:F8)</f>
        <v/>
      </c>
    </row>
    <row r="9">
      <c r="A9" s="4" t="inlineStr">
        <is>
          <t>Punitive / Treble Low</t>
        </is>
      </c>
      <c r="B9" s="5">
        <f>'Lane A — Watson Family'!G20</f>
        <v/>
      </c>
      <c r="C9" s="8">
        <f>0</f>
        <v/>
      </c>
      <c r="D9" s="6" t="n">
        <v>0</v>
      </c>
      <c r="E9" s="5">
        <f>'Lane E — Misconduct'!G16</f>
        <v/>
      </c>
      <c r="F9" s="5">
        <f>0</f>
        <v/>
      </c>
      <c r="G9" s="7">
        <f>SUM(B9:F9)</f>
        <v/>
      </c>
    </row>
    <row r="10">
      <c r="A10" s="4" t="inlineStr">
        <is>
          <t>Punitive / Treble High</t>
        </is>
      </c>
      <c r="B10" s="5">
        <f>'Lane A — Watson Family'!H20</f>
        <v/>
      </c>
      <c r="C10" s="8">
        <f>0</f>
        <v/>
      </c>
      <c r="D10" s="6" t="n">
        <v>0</v>
      </c>
      <c r="E10" s="5">
        <f>'Lane E — Misconduct'!H16</f>
        <v/>
      </c>
      <c r="F10" s="5">
        <f>0</f>
        <v/>
      </c>
      <c r="G10" s="7">
        <f>SUM(B10:F10)</f>
        <v/>
      </c>
    </row>
    <row r="12">
      <c r="A12" s="9" t="inlineStr">
        <is>
          <t>TOTAL LOW</t>
        </is>
      </c>
      <c r="B12" s="10">
        <f>B5+B7+B9</f>
        <v/>
      </c>
      <c r="C12" s="10">
        <f>C5+C7+C9</f>
        <v/>
      </c>
      <c r="D12" s="10">
        <f>D5+D7+D9</f>
        <v/>
      </c>
      <c r="E12" s="10">
        <f>E5+E7+E9</f>
        <v/>
      </c>
      <c r="F12" s="10">
        <f>F5+F7+F9</f>
        <v/>
      </c>
      <c r="G12" s="10">
        <f>G5+G7+G9</f>
        <v/>
      </c>
    </row>
    <row r="13">
      <c r="A13" s="11" t="inlineStr">
        <is>
          <t>TOTAL HIGH</t>
        </is>
      </c>
      <c r="B13" s="12">
        <f>B6+B8+B10</f>
        <v/>
      </c>
      <c r="C13" s="12">
        <f>C6+C8+C10</f>
        <v/>
      </c>
      <c r="D13" s="12">
        <f>D6+D8+D10</f>
        <v/>
      </c>
      <c r="E13" s="12">
        <f>E6+E8+E10</f>
        <v/>
      </c>
      <c r="F13" s="12">
        <f>F6+F8+F10</f>
        <v/>
      </c>
      <c r="G13" s="12">
        <f>G6+G8+G10</f>
        <v/>
      </c>
    </row>
    <row r="16">
      <c r="A16" s="13" t="inlineStr">
        <is>
          <t>Sensitivity Analysis</t>
        </is>
      </c>
    </row>
    <row r="17">
      <c r="A17" s="3" t="inlineStr">
        <is>
          <t>Multiplier</t>
        </is>
      </c>
      <c r="B17" s="3" t="inlineStr">
        <is>
          <t>Lane A</t>
        </is>
      </c>
      <c r="C17" s="3" t="inlineStr">
        <is>
          <t>Lane B</t>
        </is>
      </c>
      <c r="D17" s="3" t="inlineStr">
        <is>
          <t>Lane D</t>
        </is>
      </c>
      <c r="E17" s="3" t="inlineStr">
        <is>
          <t>Lane E</t>
        </is>
      </c>
      <c r="F17" s="3" t="inlineStr">
        <is>
          <t>Federal</t>
        </is>
      </c>
      <c r="G17" s="3" t="inlineStr">
        <is>
          <t>TOTAL</t>
        </is>
      </c>
    </row>
    <row r="18">
      <c r="A18" s="14" t="inlineStr">
        <is>
          <t>50%</t>
        </is>
      </c>
      <c r="B18" s="5">
        <f>B13*0.5</f>
        <v/>
      </c>
      <c r="C18" s="5">
        <f>C13*0.5</f>
        <v/>
      </c>
      <c r="D18" s="5">
        <f>D13*0.5</f>
        <v/>
      </c>
      <c r="E18" s="5">
        <f>E13*0.5</f>
        <v/>
      </c>
      <c r="F18" s="5">
        <f>F13*0.5</f>
        <v/>
      </c>
      <c r="G18" s="7">
        <f>SUM(B18:F18)</f>
        <v/>
      </c>
    </row>
    <row r="19">
      <c r="A19" s="14" t="inlineStr">
        <is>
          <t>75%</t>
        </is>
      </c>
      <c r="B19" s="5">
        <f>B13*0.75</f>
        <v/>
      </c>
      <c r="C19" s="5">
        <f>C13*0.75</f>
        <v/>
      </c>
      <c r="D19" s="5">
        <f>D13*0.75</f>
        <v/>
      </c>
      <c r="E19" s="5">
        <f>E13*0.75</f>
        <v/>
      </c>
      <c r="F19" s="5">
        <f>F13*0.75</f>
        <v/>
      </c>
      <c r="G19" s="7">
        <f>SUM(B19:F19)</f>
        <v/>
      </c>
    </row>
    <row r="20">
      <c r="A20" s="14" t="inlineStr">
        <is>
          <t>100%</t>
        </is>
      </c>
      <c r="B20" s="5">
        <f>B13*1.0</f>
        <v/>
      </c>
      <c r="C20" s="5">
        <f>C13*1.0</f>
        <v/>
      </c>
      <c r="D20" s="5">
        <f>D13*1.0</f>
        <v/>
      </c>
      <c r="E20" s="5">
        <f>E13*1.0</f>
        <v/>
      </c>
      <c r="F20" s="5">
        <f>F13*1.0</f>
        <v/>
      </c>
      <c r="G20" s="7">
        <f>SUM(B20:F20)</f>
        <v/>
      </c>
    </row>
    <row r="21">
      <c r="A21" s="14" t="inlineStr">
        <is>
          <t>125%</t>
        </is>
      </c>
      <c r="B21" s="5">
        <f>B13*1.25</f>
        <v/>
      </c>
      <c r="C21" s="5">
        <f>C13*1.25</f>
        <v/>
      </c>
      <c r="D21" s="5">
        <f>D13*1.25</f>
        <v/>
      </c>
      <c r="E21" s="5">
        <f>E13*1.25</f>
        <v/>
      </c>
      <c r="F21" s="5">
        <f>F13*1.25</f>
        <v/>
      </c>
      <c r="G21" s="7">
        <f>SUM(B21:F21)</f>
        <v/>
      </c>
    </row>
  </sheetData>
  <mergeCells count="3">
    <mergeCell ref="A16:G16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5" t="inlineStr">
        <is>
          <t>Lane A — Watson Family Tort Damages (13 Counts)</t>
        </is>
      </c>
    </row>
    <row r="2">
      <c r="A2" s="2" t="inlineStr">
        <is>
          <t>Defendants: Emily A. Watson, Albert Watson, Lori Watson, Cody Watson, Lane A. Watson</t>
        </is>
      </c>
    </row>
    <row r="4">
      <c r="C4" s="3" t="inlineStr">
        <is>
          <t>Economic</t>
        </is>
      </c>
      <c r="E4" s="3" t="inlineStr">
        <is>
          <t>Non-Economic</t>
        </is>
      </c>
      <c r="G4" s="3" t="inlineStr">
        <is>
          <t>Punitive</t>
        </is>
      </c>
    </row>
    <row r="5">
      <c r="A5" s="3" t="inlineStr">
        <is>
          <t>Count</t>
        </is>
      </c>
      <c r="B5" s="3" t="inlineStr">
        <is>
          <t>Cause of Action</t>
        </is>
      </c>
      <c r="C5" s="3" t="inlineStr">
        <is>
          <t>Low</t>
        </is>
      </c>
      <c r="D5" s="3" t="inlineStr">
        <is>
          <t>High</t>
        </is>
      </c>
      <c r="E5" s="3" t="inlineStr">
        <is>
          <t>Low</t>
        </is>
      </c>
      <c r="F5" s="3" t="inlineStr">
        <is>
          <t>High</t>
        </is>
      </c>
      <c r="G5" s="3" t="inlineStr">
        <is>
          <t>Low</t>
        </is>
      </c>
      <c r="H5" s="3" t="inlineStr">
        <is>
          <t>High</t>
        </is>
      </c>
    </row>
    <row r="6">
      <c r="A6" s="14" t="inlineStr">
        <is>
          <t>I</t>
        </is>
      </c>
      <c r="B6" s="16" t="inlineStr">
        <is>
          <t>Civil Conspiracy (all)</t>
        </is>
      </c>
      <c r="C6" s="6" t="n">
        <v>10000</v>
      </c>
      <c r="D6" s="6" t="n">
        <v>50000</v>
      </c>
      <c r="E6" s="6" t="n">
        <v>25000</v>
      </c>
      <c r="F6" s="6" t="n">
        <v>100000</v>
      </c>
      <c r="G6" s="6" t="n">
        <v>0</v>
      </c>
      <c r="H6" s="6" t="n">
        <v>0</v>
      </c>
    </row>
    <row r="7">
      <c r="A7" s="17" t="inlineStr">
        <is>
          <t>II</t>
        </is>
      </c>
      <c r="B7" s="18" t="inlineStr">
        <is>
          <t>IIED (Emily)</t>
        </is>
      </c>
      <c r="C7" s="6" t="n">
        <v>0</v>
      </c>
      <c r="D7" s="6" t="n">
        <v>0</v>
      </c>
      <c r="E7" s="6" t="n">
        <v>50000</v>
      </c>
      <c r="F7" s="6" t="n">
        <v>250000</v>
      </c>
      <c r="G7" s="6" t="n">
        <v>25000</v>
      </c>
      <c r="H7" s="6" t="n">
        <v>100000</v>
      </c>
    </row>
    <row r="8">
      <c r="A8" s="14" t="inlineStr">
        <is>
          <t>III</t>
        </is>
      </c>
      <c r="B8" s="16" t="inlineStr">
        <is>
          <t>Tortious Interference—Parental (all)</t>
        </is>
      </c>
      <c r="C8" s="6" t="n">
        <v>15000</v>
      </c>
      <c r="D8" s="6" t="n">
        <v>75000</v>
      </c>
      <c r="E8" s="6" t="n">
        <v>50000</v>
      </c>
      <c r="F8" s="6" t="n">
        <v>200000</v>
      </c>
      <c r="G8" s="6" t="n">
        <v>0</v>
      </c>
      <c r="H8" s="6" t="n">
        <v>0</v>
      </c>
    </row>
    <row r="9">
      <c r="A9" s="17" t="inlineStr">
        <is>
          <t>IV</t>
        </is>
      </c>
      <c r="B9" s="18" t="inlineStr">
        <is>
          <t>Tortious Interference—Custody (Emily)</t>
        </is>
      </c>
      <c r="C9" s="6" t="n">
        <v>10000</v>
      </c>
      <c r="D9" s="6" t="n">
        <v>50000</v>
      </c>
      <c r="E9" s="6" t="n">
        <v>25000</v>
      </c>
      <c r="F9" s="6" t="n">
        <v>100000</v>
      </c>
      <c r="G9" s="6" t="n">
        <v>0</v>
      </c>
      <c r="H9" s="6" t="n">
        <v>0</v>
      </c>
    </row>
    <row r="10">
      <c r="A10" s="14" t="inlineStr">
        <is>
          <t>V</t>
        </is>
      </c>
      <c r="B10" s="16" t="inlineStr">
        <is>
          <t>Defamation Per Se (Emily)</t>
        </is>
      </c>
      <c r="C10" s="6" t="n">
        <v>5000</v>
      </c>
      <c r="D10" s="6" t="n">
        <v>25000</v>
      </c>
      <c r="E10" s="6" t="n">
        <v>25000</v>
      </c>
      <c r="F10" s="6" t="n">
        <v>100000</v>
      </c>
      <c r="G10" s="6" t="n">
        <v>10000</v>
      </c>
      <c r="H10" s="6" t="n">
        <v>50000</v>
      </c>
    </row>
    <row r="11">
      <c r="A11" s="17" t="inlineStr">
        <is>
          <t>VI</t>
        </is>
      </c>
      <c r="B11" s="18" t="inlineStr">
        <is>
          <t>Slander (Emily, Lori)</t>
        </is>
      </c>
      <c r="C11" s="6" t="n">
        <v>5000</v>
      </c>
      <c r="D11" s="6" t="n">
        <v>15000</v>
      </c>
      <c r="E11" s="6" t="n">
        <v>15000</v>
      </c>
      <c r="F11" s="6" t="n">
        <v>50000</v>
      </c>
      <c r="G11" s="6" t="n">
        <v>0</v>
      </c>
      <c r="H11" s="6" t="n">
        <v>0</v>
      </c>
    </row>
    <row r="12">
      <c r="A12" s="14" t="inlineStr">
        <is>
          <t>VII</t>
        </is>
      </c>
      <c r="B12" s="16" t="inlineStr">
        <is>
          <t>Malicious Prosecution (Emily)</t>
        </is>
      </c>
      <c r="C12" s="6" t="n">
        <v>10000</v>
      </c>
      <c r="D12" s="6" t="n">
        <v>40000</v>
      </c>
      <c r="E12" s="6" t="n">
        <v>25000</v>
      </c>
      <c r="F12" s="6" t="n">
        <v>75000</v>
      </c>
      <c r="G12" s="6" t="n">
        <v>10000</v>
      </c>
      <c r="H12" s="6" t="n">
        <v>50000</v>
      </c>
    </row>
    <row r="13">
      <c r="A13" s="17" t="inlineStr">
        <is>
          <t>VIII</t>
        </is>
      </c>
      <c r="B13" s="18" t="inlineStr">
        <is>
          <t>Abuse of Process (Emily, Berry)</t>
        </is>
      </c>
      <c r="C13" s="6" t="n">
        <v>10000</v>
      </c>
      <c r="D13" s="6" t="n">
        <v>30000</v>
      </c>
      <c r="E13" s="6" t="n">
        <v>20000</v>
      </c>
      <c r="F13" s="6" t="n">
        <v>60000</v>
      </c>
      <c r="G13" s="6" t="n">
        <v>10000</v>
      </c>
      <c r="H13" s="6" t="n">
        <v>40000</v>
      </c>
    </row>
    <row r="14">
      <c r="A14" s="14" t="inlineStr">
        <is>
          <t>IX</t>
        </is>
      </c>
      <c r="B14" s="16" t="inlineStr">
        <is>
          <t>Fraud on Court (Emily, Berry)</t>
        </is>
      </c>
      <c r="C14" s="6" t="n">
        <v>5000</v>
      </c>
      <c r="D14" s="6" t="n">
        <v>25000</v>
      </c>
      <c r="E14" s="6" t="n">
        <v>15000</v>
      </c>
      <c r="F14" s="6" t="n">
        <v>50000</v>
      </c>
      <c r="G14" s="6" t="n">
        <v>25000</v>
      </c>
      <c r="H14" s="6" t="n">
        <v>100000</v>
      </c>
    </row>
    <row r="15">
      <c r="A15" s="17" t="inlineStr">
        <is>
          <t>X</t>
        </is>
      </c>
      <c r="B15" s="18" t="inlineStr">
        <is>
          <t>Conversion (Emily)</t>
        </is>
      </c>
      <c r="C15" s="6" t="n">
        <v>5000</v>
      </c>
      <c r="D15" s="6" t="n">
        <v>15000</v>
      </c>
      <c r="E15" s="6" t="n">
        <v>5000</v>
      </c>
      <c r="F15" s="6" t="n">
        <v>15000</v>
      </c>
      <c r="G15" s="6" t="n">
        <v>0</v>
      </c>
      <c r="H15" s="6" t="n">
        <v>0</v>
      </c>
    </row>
    <row r="16">
      <c r="A16" s="14" t="inlineStr">
        <is>
          <t>XI</t>
        </is>
      </c>
      <c r="B16" s="16" t="inlineStr">
        <is>
          <t>Unjust Enrichment (Emily)</t>
        </is>
      </c>
      <c r="C16" s="6" t="n">
        <v>5000</v>
      </c>
      <c r="D16" s="6" t="n">
        <v>20000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s="17" t="inlineStr">
        <is>
          <t>XII</t>
        </is>
      </c>
      <c r="B17" s="18" t="inlineStr">
        <is>
          <t>NIED (all)</t>
        </is>
      </c>
      <c r="C17" s="6" t="n">
        <v>0</v>
      </c>
      <c r="D17" s="6" t="n">
        <v>0</v>
      </c>
      <c r="E17" s="6" t="n">
        <v>25000</v>
      </c>
      <c r="F17" s="6" t="n">
        <v>100000</v>
      </c>
      <c r="G17" s="6" t="n">
        <v>0</v>
      </c>
      <c r="H17" s="6" t="n">
        <v>0</v>
      </c>
    </row>
    <row r="18">
      <c r="A18" s="14" t="inlineStr">
        <is>
          <t>XIII</t>
        </is>
      </c>
      <c r="B18" s="16" t="inlineStr">
        <is>
          <t>Loss of Companionship (Emily)</t>
        </is>
      </c>
      <c r="C18" s="6" t="n">
        <v>0</v>
      </c>
      <c r="D18" s="6" t="n">
        <v>0</v>
      </c>
      <c r="E18" s="6" t="n">
        <v>50000</v>
      </c>
      <c r="F18" s="6" t="n">
        <v>200000</v>
      </c>
      <c r="G18" s="6" t="n">
        <v>0</v>
      </c>
      <c r="H18" s="6" t="n">
        <v>0</v>
      </c>
    </row>
    <row r="20">
      <c r="A20" t="inlineStr"/>
      <c r="B20" s="13" t="inlineStr">
        <is>
          <t>SUBTOTALS</t>
        </is>
      </c>
      <c r="C20" s="10">
        <f>SUM(C6:C18)</f>
        <v/>
      </c>
      <c r="D20" s="10">
        <f>SUM(D6:D18)</f>
        <v/>
      </c>
      <c r="E20" s="10">
        <f>SUM(E6:E18)</f>
        <v/>
      </c>
      <c r="F20" s="10">
        <f>SUM(F6:F18)</f>
        <v/>
      </c>
      <c r="G20" s="10">
        <f>SUM(G6:G18)</f>
        <v/>
      </c>
      <c r="H20" s="10">
        <f>SUM(H6:H18)</f>
        <v/>
      </c>
    </row>
    <row r="22">
      <c r="B22" s="19" t="inlineStr">
        <is>
          <t>GRAND TOTAL LOW</t>
        </is>
      </c>
      <c r="C22" s="12">
        <f>C20+E20+G20</f>
        <v/>
      </c>
    </row>
    <row r="23">
      <c r="B23" s="19" t="inlineStr">
        <is>
          <t>GRAND TOTAL HIGH</t>
        </is>
      </c>
      <c r="C23" s="12">
        <f>D20+F20+H20</f>
        <v/>
      </c>
    </row>
  </sheetData>
  <mergeCells count="5">
    <mergeCell ref="G4:H4"/>
    <mergeCell ref="E4:F4"/>
    <mergeCell ref="A2:H2"/>
    <mergeCell ref="A1:H1"/>
    <mergeCell ref="C4:D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H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5" t="inlineStr">
        <is>
          <t>Lane B — Housing Mega-Complaint (22 Counts)</t>
        </is>
      </c>
    </row>
    <row r="2">
      <c r="A2" s="20" t="inlineStr">
        <is>
          <t>Defs: Shady Oaks MHP LLC, Homes of America LLC, Alden Global, Partridge Equity, VRM Capital, Cricklewood, VanDam, Browley, Davis</t>
        </is>
      </c>
    </row>
    <row r="4">
      <c r="E4" s="3" t="inlineStr">
        <is>
          <t>Economic</t>
        </is>
      </c>
      <c r="G4" s="3" t="inlineStr">
        <is>
          <t>Non-Economic</t>
        </is>
      </c>
    </row>
    <row r="5">
      <c r="A5" s="3" t="inlineStr">
        <is>
          <t>Count</t>
        </is>
      </c>
      <c r="B5" s="3" t="inlineStr">
        <is>
          <t>Cause of Action</t>
        </is>
      </c>
      <c r="C5" s="3" t="inlineStr">
        <is>
          <t>Statute</t>
        </is>
      </c>
      <c r="D5" s="3" t="inlineStr">
        <is>
          <t>Treble?</t>
        </is>
      </c>
      <c r="E5" s="3" t="inlineStr">
        <is>
          <t>Low</t>
        </is>
      </c>
      <c r="F5" s="3" t="inlineStr">
        <is>
          <t>High</t>
        </is>
      </c>
      <c r="G5" s="3" t="inlineStr">
        <is>
          <t>Low</t>
        </is>
      </c>
      <c r="H5" s="3" t="inlineStr">
        <is>
          <t>High</t>
        </is>
      </c>
    </row>
    <row r="6">
      <c r="A6" s="14" t="inlineStr">
        <is>
          <t>I</t>
        </is>
      </c>
      <c r="B6" s="16" t="inlineStr">
        <is>
          <t>Conversion</t>
        </is>
      </c>
      <c r="C6" s="21" t="inlineStr">
        <is>
          <t>MCL 600.2919a</t>
        </is>
      </c>
      <c r="D6" s="22" t="inlineStr">
        <is>
          <t>YES ×3</t>
        </is>
      </c>
      <c r="E6" s="6" t="n">
        <v>10000</v>
      </c>
      <c r="F6" s="6" t="n">
        <v>27500</v>
      </c>
      <c r="G6" s="6" t="n">
        <v>0</v>
      </c>
      <c r="H6" s="6" t="n">
        <v>0</v>
      </c>
    </row>
    <row r="7">
      <c r="A7" s="17" t="inlineStr">
        <is>
          <t>II</t>
        </is>
      </c>
      <c r="B7" s="18" t="inlineStr">
        <is>
          <t>Fraud</t>
        </is>
      </c>
      <c r="C7" s="23" t="inlineStr">
        <is>
          <t>MCL 566.34</t>
        </is>
      </c>
      <c r="D7" s="24" t="inlineStr">
        <is>
          <t>No</t>
        </is>
      </c>
      <c r="E7" s="6" t="n">
        <v>15000</v>
      </c>
      <c r="F7" s="6" t="n">
        <v>75000</v>
      </c>
      <c r="G7" s="6" t="n">
        <v>25000</v>
      </c>
      <c r="H7" s="6" t="n">
        <v>100000</v>
      </c>
    </row>
    <row r="8">
      <c r="A8" s="14" t="inlineStr">
        <is>
          <t>III</t>
        </is>
      </c>
      <c r="B8" s="16" t="inlineStr">
        <is>
          <t>Tortious Interference</t>
        </is>
      </c>
      <c r="C8" s="21" t="inlineStr">
        <is>
          <t>Common law</t>
        </is>
      </c>
      <c r="D8" s="25" t="inlineStr">
        <is>
          <t>No</t>
        </is>
      </c>
      <c r="E8" s="6" t="n">
        <v>20000</v>
      </c>
      <c r="F8" s="6" t="n">
        <v>35000</v>
      </c>
      <c r="G8" s="6" t="n">
        <v>25000</v>
      </c>
      <c r="H8" s="6" t="n">
        <v>50000</v>
      </c>
    </row>
    <row r="9">
      <c r="A9" s="17" t="inlineStr">
        <is>
          <t>IV</t>
        </is>
      </c>
      <c r="B9" s="18" t="inlineStr">
        <is>
          <t>Mobile Home Commission Act</t>
        </is>
      </c>
      <c r="C9" s="23" t="inlineStr">
        <is>
          <t>MCL 125.2301</t>
        </is>
      </c>
      <c r="D9" s="24" t="inlineStr">
        <is>
          <t>No</t>
        </is>
      </c>
      <c r="E9" s="6" t="n">
        <v>10000</v>
      </c>
      <c r="F9" s="6" t="n">
        <v>40000</v>
      </c>
      <c r="G9" s="6" t="n">
        <v>10000</v>
      </c>
      <c r="H9" s="6" t="n">
        <v>40000</v>
      </c>
    </row>
    <row r="10">
      <c r="A10" s="14" t="inlineStr">
        <is>
          <t>V</t>
        </is>
      </c>
      <c r="B10" s="16" t="inlineStr">
        <is>
          <t>Ultra Vires</t>
        </is>
      </c>
      <c r="C10" s="21" t="inlineStr">
        <is>
          <t>MCL 450.4802</t>
        </is>
      </c>
      <c r="D10" s="25" t="inlineStr">
        <is>
          <t>No</t>
        </is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s="17" t="inlineStr">
        <is>
          <t>VI</t>
        </is>
      </c>
      <c r="B11" s="18" t="inlineStr">
        <is>
          <t>Unjust Enrichment</t>
        </is>
      </c>
      <c r="C11" s="23" t="inlineStr">
        <is>
          <t>Equity</t>
        </is>
      </c>
      <c r="D11" s="24" t="inlineStr">
        <is>
          <t>No</t>
        </is>
      </c>
      <c r="E11" s="6" t="n">
        <v>6000</v>
      </c>
      <c r="F11" s="6" t="n">
        <v>6000</v>
      </c>
      <c r="G11" s="6" t="n">
        <v>0</v>
      </c>
      <c r="H11" s="6" t="n">
        <v>0</v>
      </c>
    </row>
    <row r="12">
      <c r="A12" s="14" t="inlineStr">
        <is>
          <t>VII</t>
        </is>
      </c>
      <c r="B12" s="16" t="inlineStr">
        <is>
          <t>Civil Conspiracy</t>
        </is>
      </c>
      <c r="C12" s="21" t="inlineStr">
        <is>
          <t>Common law</t>
        </is>
      </c>
      <c r="D12" s="25" t="inlineStr">
        <is>
          <t>No</t>
        </is>
      </c>
      <c r="E12" s="6" t="n">
        <v>0</v>
      </c>
      <c r="F12" s="6" t="n">
        <v>0</v>
      </c>
      <c r="G12" s="6" t="n">
        <v>0</v>
      </c>
      <c r="H12" s="6" t="n">
        <v>0</v>
      </c>
    </row>
    <row r="13">
      <c r="A13" s="17" t="inlineStr">
        <is>
          <t>VIII</t>
        </is>
      </c>
      <c r="B13" s="18" t="inlineStr">
        <is>
          <t>Veil Piercing</t>
        </is>
      </c>
      <c r="C13" s="23" t="inlineStr">
        <is>
          <t>Equity</t>
        </is>
      </c>
      <c r="D13" s="24" t="inlineStr">
        <is>
          <t>No</t>
        </is>
      </c>
      <c r="E13" s="6" t="n">
        <v>0</v>
      </c>
      <c r="F13" s="6" t="n">
        <v>0</v>
      </c>
      <c r="G13" s="6" t="n">
        <v>0</v>
      </c>
      <c r="H13" s="6" t="n">
        <v>0</v>
      </c>
    </row>
    <row r="14">
      <c r="A14" s="14" t="inlineStr">
        <is>
          <t>IX</t>
        </is>
      </c>
      <c r="B14" s="16" t="inlineStr">
        <is>
          <t>Michigan RICO</t>
        </is>
      </c>
      <c r="C14" s="21" t="inlineStr">
        <is>
          <t>MCL 750.159i</t>
        </is>
      </c>
      <c r="D14" s="22" t="inlineStr">
        <is>
          <t>YES ×3</t>
        </is>
      </c>
      <c r="E14" s="6" t="n">
        <v>100000</v>
      </c>
      <c r="F14" s="6" t="n">
        <v>500000</v>
      </c>
      <c r="G14" s="6" t="n">
        <v>100000</v>
      </c>
      <c r="H14" s="6" t="n">
        <v>500000</v>
      </c>
    </row>
    <row r="15">
      <c r="A15" s="17" t="inlineStr">
        <is>
          <t>X</t>
        </is>
      </c>
      <c r="B15" s="18" t="inlineStr">
        <is>
          <t>Constructive Eviction</t>
        </is>
      </c>
      <c r="C15" s="23" t="inlineStr">
        <is>
          <t>Common law</t>
        </is>
      </c>
      <c r="D15" s="24" t="inlineStr">
        <is>
          <t>No</t>
        </is>
      </c>
      <c r="E15" s="6" t="n">
        <v>15000</v>
      </c>
      <c r="F15" s="6" t="n">
        <v>60000</v>
      </c>
      <c r="G15" s="6" t="n">
        <v>25000</v>
      </c>
      <c r="H15" s="6" t="n">
        <v>100000</v>
      </c>
    </row>
    <row r="16">
      <c r="A16" s="14" t="inlineStr">
        <is>
          <t>XI</t>
        </is>
      </c>
      <c r="B16" s="16" t="inlineStr">
        <is>
          <t>Retaliatory Eviction</t>
        </is>
      </c>
      <c r="C16" s="21" t="inlineStr">
        <is>
          <t>MCL 600.5720</t>
        </is>
      </c>
      <c r="D16" s="25" t="inlineStr">
        <is>
          <t>No</t>
        </is>
      </c>
      <c r="E16" s="6" t="n">
        <v>10000</v>
      </c>
      <c r="F16" s="6" t="n">
        <v>40000</v>
      </c>
      <c r="G16" s="6" t="n">
        <v>10000</v>
      </c>
      <c r="H16" s="6" t="n">
        <v>40000</v>
      </c>
    </row>
    <row r="17">
      <c r="A17" s="17" t="inlineStr">
        <is>
          <t>XII</t>
        </is>
      </c>
      <c r="B17" s="18" t="inlineStr">
        <is>
          <t>Consumer Protection</t>
        </is>
      </c>
      <c r="C17" s="23" t="inlineStr">
        <is>
          <t>MCL 445.903</t>
        </is>
      </c>
      <c r="D17" s="26" t="inlineStr">
        <is>
          <t>YES ×3</t>
        </is>
      </c>
      <c r="E17" s="6" t="n">
        <v>25000</v>
      </c>
      <c r="F17" s="6" t="n">
        <v>100000</v>
      </c>
      <c r="G17" s="6" t="n">
        <v>0</v>
      </c>
      <c r="H17" s="6" t="n">
        <v>0</v>
      </c>
    </row>
    <row r="18">
      <c r="A18" s="14" t="inlineStr">
        <is>
          <t>XIII</t>
        </is>
      </c>
      <c r="B18" s="16" t="inlineStr">
        <is>
          <t>Truth in Renting</t>
        </is>
      </c>
      <c r="C18" s="21" t="inlineStr">
        <is>
          <t>MCL 554.631</t>
        </is>
      </c>
      <c r="D18" s="25" t="inlineStr">
        <is>
          <t>$250/vio</t>
        </is>
      </c>
      <c r="E18" s="6" t="n">
        <v>5000</v>
      </c>
      <c r="F18" s="6" t="n">
        <v>25000</v>
      </c>
      <c r="G18" s="6" t="n">
        <v>0</v>
      </c>
      <c r="H18" s="6" t="n">
        <v>0</v>
      </c>
    </row>
    <row r="19">
      <c r="A19" s="17" t="inlineStr">
        <is>
          <t>XIV</t>
        </is>
      </c>
      <c r="B19" s="18" t="inlineStr">
        <is>
          <t>Slander of Title</t>
        </is>
      </c>
      <c r="C19" s="23" t="inlineStr">
        <is>
          <t>Common law</t>
        </is>
      </c>
      <c r="D19" s="24" t="inlineStr">
        <is>
          <t>No</t>
        </is>
      </c>
      <c r="E19" s="6" t="n">
        <v>5000</v>
      </c>
      <c r="F19" s="6" t="n">
        <v>15000</v>
      </c>
      <c r="G19" s="6" t="n">
        <v>5000</v>
      </c>
      <c r="H19" s="6" t="n">
        <v>15000</v>
      </c>
    </row>
    <row r="20">
      <c r="A20" s="14" t="inlineStr">
        <is>
          <t>XV</t>
        </is>
      </c>
      <c r="B20" s="16" t="inlineStr">
        <is>
          <t>Ledger Fraud</t>
        </is>
      </c>
      <c r="C20" s="21" t="inlineStr">
        <is>
          <t>MCL 566.34</t>
        </is>
      </c>
      <c r="D20" s="25" t="inlineStr">
        <is>
          <t>No</t>
        </is>
      </c>
      <c r="E20" s="6" t="n">
        <v>6000</v>
      </c>
      <c r="F20" s="6" t="n">
        <v>6000</v>
      </c>
      <c r="G20" s="6" t="n">
        <v>0</v>
      </c>
      <c r="H20" s="6" t="n">
        <v>0</v>
      </c>
    </row>
    <row r="21">
      <c r="A21" s="17" t="inlineStr">
        <is>
          <t>XVI</t>
        </is>
      </c>
      <c r="B21" s="18" t="inlineStr">
        <is>
          <t>Tax Assessment Fraud</t>
        </is>
      </c>
      <c r="C21" s="23" t="inlineStr">
        <is>
          <t>Tax code</t>
        </is>
      </c>
      <c r="D21" s="24" t="inlineStr">
        <is>
          <t>No</t>
        </is>
      </c>
      <c r="E21" s="6" t="n">
        <v>15000</v>
      </c>
      <c r="F21" s="6" t="n">
        <v>50000</v>
      </c>
      <c r="G21" s="6" t="n">
        <v>0</v>
      </c>
      <c r="H21" s="6" t="n">
        <v>0</v>
      </c>
    </row>
    <row r="22">
      <c r="A22" s="14" t="inlineStr">
        <is>
          <t>XVII</t>
        </is>
      </c>
      <c r="B22" s="16" t="inlineStr">
        <is>
          <t>Breach of Lease</t>
        </is>
      </c>
      <c r="C22" s="21" t="inlineStr">
        <is>
          <t>Contract</t>
        </is>
      </c>
      <c r="D22" s="25" t="inlineStr">
        <is>
          <t>No</t>
        </is>
      </c>
      <c r="E22" s="6" t="n">
        <v>5000</v>
      </c>
      <c r="F22" s="6" t="n">
        <v>20000</v>
      </c>
      <c r="G22" s="6" t="n">
        <v>0</v>
      </c>
      <c r="H22" s="6" t="n">
        <v>0</v>
      </c>
    </row>
    <row r="23">
      <c r="A23" s="17" t="inlineStr">
        <is>
          <t>XVIII</t>
        </is>
      </c>
      <c r="B23" s="18" t="inlineStr">
        <is>
          <t>Warranty of Habitability</t>
        </is>
      </c>
      <c r="C23" s="23" t="inlineStr">
        <is>
          <t>Javins</t>
        </is>
      </c>
      <c r="D23" s="24" t="inlineStr">
        <is>
          <t>No</t>
        </is>
      </c>
      <c r="E23" s="6" t="n">
        <v>10000</v>
      </c>
      <c r="F23" s="6" t="n">
        <v>40000</v>
      </c>
      <c r="G23" s="6" t="n">
        <v>10000</v>
      </c>
      <c r="H23" s="6" t="n">
        <v>40000</v>
      </c>
    </row>
    <row r="24">
      <c r="A24" s="14" t="inlineStr">
        <is>
          <t>XIX</t>
        </is>
      </c>
      <c r="B24" s="16" t="inlineStr">
        <is>
          <t>IIED</t>
        </is>
      </c>
      <c r="C24" s="21" t="inlineStr">
        <is>
          <t>Common law</t>
        </is>
      </c>
      <c r="D24" s="25" t="inlineStr">
        <is>
          <t>No</t>
        </is>
      </c>
      <c r="E24" s="6" t="n">
        <v>0</v>
      </c>
      <c r="F24" s="6" t="n">
        <v>0</v>
      </c>
      <c r="G24" s="6" t="n">
        <v>25000</v>
      </c>
      <c r="H24" s="6" t="n">
        <v>100000</v>
      </c>
    </row>
    <row r="25">
      <c r="A25" s="17" t="inlineStr">
        <is>
          <t>XX</t>
        </is>
      </c>
      <c r="B25" s="18" t="inlineStr">
        <is>
          <t>Fair Housing Act</t>
        </is>
      </c>
      <c r="C25" s="23" t="inlineStr">
        <is>
          <t>42 USC 3601</t>
        </is>
      </c>
      <c r="D25" s="26" t="inlineStr">
        <is>
          <t>Yes</t>
        </is>
      </c>
      <c r="E25" s="6" t="n">
        <v>25000</v>
      </c>
      <c r="F25" s="6" t="n">
        <v>100000</v>
      </c>
      <c r="G25" s="6" t="n">
        <v>50000</v>
      </c>
      <c r="H25" s="6" t="n">
        <v>250000</v>
      </c>
    </row>
    <row r="26">
      <c r="A26" s="14" t="inlineStr">
        <is>
          <t>XXI</t>
        </is>
      </c>
      <c r="B26" s="16" t="inlineStr">
        <is>
          <t>§1983 Property</t>
        </is>
      </c>
      <c r="C26" s="21" t="inlineStr">
        <is>
          <t>14th Amend</t>
        </is>
      </c>
      <c r="D26" s="25" t="inlineStr">
        <is>
          <t>No</t>
        </is>
      </c>
      <c r="E26" s="6" t="n">
        <v>15000</v>
      </c>
      <c r="F26" s="6" t="n">
        <v>75000</v>
      </c>
      <c r="G26" s="6" t="n">
        <v>25000</v>
      </c>
      <c r="H26" s="6" t="n">
        <v>100000</v>
      </c>
    </row>
    <row r="27">
      <c r="A27" s="17" t="inlineStr">
        <is>
          <t>XXII</t>
        </is>
      </c>
      <c r="B27" s="18" t="inlineStr">
        <is>
          <t>Fraud on Court</t>
        </is>
      </c>
      <c r="C27" s="23" t="inlineStr">
        <is>
          <t>Equity</t>
        </is>
      </c>
      <c r="D27" s="24" t="inlineStr">
        <is>
          <t>No</t>
        </is>
      </c>
      <c r="E27" s="6" t="n">
        <v>0</v>
      </c>
      <c r="F27" s="6" t="n">
        <v>0</v>
      </c>
      <c r="G27" s="6" t="n">
        <v>0</v>
      </c>
      <c r="H27" s="6" t="n">
        <v>0</v>
      </c>
    </row>
    <row r="29">
      <c r="B29" s="13" t="inlineStr">
        <is>
          <t>─── BASE TOTALS ───</t>
        </is>
      </c>
    </row>
    <row r="30">
      <c r="B30" s="13" t="inlineStr">
        <is>
          <t>SUBTOTALS (before treble)</t>
        </is>
      </c>
    </row>
    <row r="31">
      <c r="B31" s="13" t="inlineStr">
        <is>
          <t>BASE TOTALS</t>
        </is>
      </c>
      <c r="E31" s="10">
        <f>SUM(E6:E27)</f>
        <v/>
      </c>
      <c r="F31" s="10">
        <f>SUM(F6:F27)</f>
        <v/>
      </c>
      <c r="G31" s="10">
        <f>SUM(G6:G27)</f>
        <v/>
      </c>
      <c r="H31" s="10">
        <f>SUM(H6:H27)</f>
        <v/>
      </c>
    </row>
    <row r="33">
      <c r="B33" s="13" t="inlineStr">
        <is>
          <t>─── TREBLE / ENHANCED DAMAGES ───</t>
        </is>
      </c>
    </row>
    <row r="34">
      <c r="B34" s="13" t="inlineStr">
        <is>
          <t>Treble Calculations</t>
        </is>
      </c>
    </row>
    <row r="35">
      <c r="A35" s="3" t="inlineStr"/>
      <c r="B35" s="3" t="inlineStr">
        <is>
          <t>Count</t>
        </is>
      </c>
      <c r="C35" s="3" t="inlineStr">
        <is>
          <t>Base Low</t>
        </is>
      </c>
      <c r="D35" s="3" t="inlineStr">
        <is>
          <t>Base High</t>
        </is>
      </c>
      <c r="E35" s="3" t="inlineStr">
        <is>
          <t>Trebled Low (×3)</t>
        </is>
      </c>
      <c r="F35" s="3" t="inlineStr">
        <is>
          <t>Trebled High (×3)</t>
        </is>
      </c>
      <c r="G35" s="3" t="inlineStr">
        <is>
          <t>Additional Low</t>
        </is>
      </c>
      <c r="H35" s="3" t="inlineStr">
        <is>
          <t>Additional High</t>
        </is>
      </c>
    </row>
    <row r="36">
      <c r="A36" s="27" t="n"/>
      <c r="B36" s="28" t="inlineStr">
        <is>
          <t>I — Conversion</t>
        </is>
      </c>
      <c r="C36" s="29">
        <f>E6+G6</f>
        <v/>
      </c>
      <c r="D36" s="29">
        <f>F6+H6</f>
        <v/>
      </c>
      <c r="E36" s="29">
        <f>C36*3</f>
        <v/>
      </c>
      <c r="F36" s="29">
        <f>D36*3</f>
        <v/>
      </c>
      <c r="G36" s="29">
        <f>E36-C36</f>
        <v/>
      </c>
      <c r="H36" s="29">
        <f>F36-D36</f>
        <v/>
      </c>
    </row>
    <row r="37">
      <c r="A37" s="27" t="n"/>
      <c r="B37" s="28" t="inlineStr">
        <is>
          <t>IX — Michigan RICO</t>
        </is>
      </c>
      <c r="C37" s="29">
        <f>E14+G14</f>
        <v/>
      </c>
      <c r="D37" s="29">
        <f>F14+H14</f>
        <v/>
      </c>
      <c r="E37" s="29">
        <f>C37*3</f>
        <v/>
      </c>
      <c r="F37" s="29">
        <f>D37*3</f>
        <v/>
      </c>
      <c r="G37" s="29">
        <f>E37-C37</f>
        <v/>
      </c>
      <c r="H37" s="29">
        <f>F37-D37</f>
        <v/>
      </c>
    </row>
    <row r="38">
      <c r="A38" s="27" t="n"/>
      <c r="B38" s="28" t="inlineStr">
        <is>
          <t>XII — Consumer Prot.</t>
        </is>
      </c>
      <c r="C38" s="29">
        <f>E17+G17</f>
        <v/>
      </c>
      <c r="D38" s="29">
        <f>F17+H17</f>
        <v/>
      </c>
      <c r="E38" s="29">
        <f>C38*3</f>
        <v/>
      </c>
      <c r="F38" s="29">
        <f>D38*3</f>
        <v/>
      </c>
      <c r="G38" s="29">
        <f>E38-C38</f>
        <v/>
      </c>
      <c r="H38" s="29">
        <f>F38-D38</f>
        <v/>
      </c>
    </row>
    <row r="39">
      <c r="A39" s="27" t="n"/>
      <c r="B39" s="28" t="inlineStr">
        <is>
          <t>XX — Fair Housing</t>
        </is>
      </c>
      <c r="C39" s="29">
        <f>E25+G25</f>
        <v/>
      </c>
      <c r="D39" s="29">
        <f>F25+H25</f>
        <v/>
      </c>
      <c r="E39" s="29">
        <f>C39*3</f>
        <v/>
      </c>
      <c r="F39" s="29">
        <f>D39*3</f>
        <v/>
      </c>
      <c r="G39" s="29">
        <f>E39-C39</f>
        <v/>
      </c>
      <c r="H39" s="29">
        <f>F39-D39</f>
        <v/>
      </c>
    </row>
    <row r="40">
      <c r="B40" s="30" t="inlineStr">
        <is>
          <t>TREBLE ADDITIONAL TOTALS</t>
        </is>
      </c>
      <c r="E40" s="31">
        <f>SUM(E36:E39)</f>
        <v/>
      </c>
      <c r="F40" s="31">
        <f>SUM(F36:F39)</f>
        <v/>
      </c>
      <c r="G40" s="31">
        <f>SUM(G36:G39)</f>
        <v/>
      </c>
      <c r="H40" s="31">
        <f>SUM(H36:H39)</f>
        <v/>
      </c>
    </row>
    <row r="42">
      <c r="B42" s="4" t="inlineStr">
        <is>
          <t>Treble Additional — Economic</t>
        </is>
      </c>
      <c r="E42" s="8">
        <f>E6*2+E14*2+E17*2+E25*2</f>
        <v/>
      </c>
      <c r="F42" s="8">
        <f>F6*2+F14*2+F17*2+F25*2</f>
        <v/>
      </c>
      <c r="G42" t="inlineStr"/>
      <c r="H42" t="inlineStr"/>
    </row>
    <row r="43">
      <c r="B43" s="4" t="inlineStr">
        <is>
          <t>Treble Additional — Non-Economic</t>
        </is>
      </c>
      <c r="E43" s="8">
        <f>G6*2+G14*2+G17*2+G25*2</f>
        <v/>
      </c>
      <c r="F43" s="8">
        <f>H6*2+H14*2+H17*2+H25*2</f>
        <v/>
      </c>
    </row>
    <row r="45">
      <c r="B45" s="19" t="inlineStr">
        <is>
          <t>GRAND TOTAL LOW (with treble)</t>
        </is>
      </c>
      <c r="E45" s="12">
        <f>E31+E42+E43</f>
        <v/>
      </c>
    </row>
    <row r="46">
      <c r="B46" s="19" t="inlineStr">
        <is>
          <t>GRAND TOTAL HIGH (with treble)</t>
        </is>
      </c>
      <c r="E46" s="12">
        <f>F31+F42+F43</f>
        <v/>
      </c>
    </row>
  </sheetData>
  <mergeCells count="4">
    <mergeCell ref="G4:H4"/>
    <mergeCell ref="E4:F4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5" t="inlineStr">
        <is>
          <t>Lane E — Judicial Misconduct / Federal §1983</t>
        </is>
      </c>
    </row>
    <row r="2">
      <c r="A2" s="2" t="inlineStr">
        <is>
          <t>Defendants: Hon. McNeill, Atty Berry, FOC Rusco, Muskegon County</t>
        </is>
      </c>
    </row>
    <row r="4">
      <c r="C4" s="3" t="inlineStr">
        <is>
          <t>Economic</t>
        </is>
      </c>
      <c r="E4" s="3" t="inlineStr">
        <is>
          <t>Non-Economic</t>
        </is>
      </c>
      <c r="G4" s="3" t="inlineStr">
        <is>
          <t>Punitive</t>
        </is>
      </c>
    </row>
    <row r="5">
      <c r="A5" s="3" t="inlineStr">
        <is>
          <t>Count</t>
        </is>
      </c>
      <c r="B5" s="3" t="inlineStr">
        <is>
          <t>Against</t>
        </is>
      </c>
      <c r="C5" s="3" t="inlineStr">
        <is>
          <t>Low</t>
        </is>
      </c>
      <c r="D5" s="3" t="inlineStr">
        <is>
          <t>High</t>
        </is>
      </c>
      <c r="E5" s="3" t="inlineStr">
        <is>
          <t>Low</t>
        </is>
      </c>
      <c r="F5" s="3" t="inlineStr">
        <is>
          <t>High</t>
        </is>
      </c>
      <c r="G5" s="3" t="inlineStr">
        <is>
          <t>Low</t>
        </is>
      </c>
      <c r="H5" s="3" t="inlineStr">
        <is>
          <t>High</t>
        </is>
      </c>
    </row>
    <row r="6">
      <c r="A6" s="32" t="inlineStr">
        <is>
          <t>Due Process Violation</t>
        </is>
      </c>
      <c r="B6" s="16" t="inlineStr">
        <is>
          <t>McNeill</t>
        </is>
      </c>
      <c r="C6" s="6" t="n">
        <v>25000</v>
      </c>
      <c r="D6" s="6" t="n">
        <v>100000</v>
      </c>
      <c r="E6" s="6" t="n">
        <v>75000</v>
      </c>
      <c r="F6" s="6" t="n">
        <v>300000</v>
      </c>
      <c r="G6" s="6" t="n">
        <v>50000</v>
      </c>
      <c r="H6" s="6" t="n">
        <v>200000</v>
      </c>
    </row>
    <row r="7">
      <c r="A7" s="33" t="inlineStr">
        <is>
          <t>Parental Liberty</t>
        </is>
      </c>
      <c r="B7" s="18" t="inlineStr">
        <is>
          <t>McNeill</t>
        </is>
      </c>
      <c r="C7" s="6" t="n">
        <v>15000</v>
      </c>
      <c r="D7" s="6" t="n">
        <v>75000</v>
      </c>
      <c r="E7" s="6" t="n">
        <v>100000</v>
      </c>
      <c r="F7" s="6" t="n">
        <v>500000</v>
      </c>
      <c r="G7" s="6" t="n">
        <v>50000</v>
      </c>
      <c r="H7" s="6" t="n">
        <v>250000</v>
      </c>
    </row>
    <row r="8">
      <c r="A8" s="32" t="inlineStr">
        <is>
          <t>§1983 Conspiracy</t>
        </is>
      </c>
      <c r="B8" s="16" t="inlineStr">
        <is>
          <t>Watson/Berry/McNeill</t>
        </is>
      </c>
      <c r="C8" s="6" t="n">
        <v>20000</v>
      </c>
      <c r="D8" s="6" t="n">
        <v>80000</v>
      </c>
      <c r="E8" s="6" t="n">
        <v>50000</v>
      </c>
      <c r="F8" s="6" t="n">
        <v>200000</v>
      </c>
      <c r="G8" s="6" t="n">
        <v>25000</v>
      </c>
      <c r="H8" s="6" t="n">
        <v>100000</v>
      </c>
    </row>
    <row r="9">
      <c r="A9" s="33" t="inlineStr">
        <is>
          <t>Monell Liability</t>
        </is>
      </c>
      <c r="B9" s="18" t="inlineStr">
        <is>
          <t>Muskegon County</t>
        </is>
      </c>
      <c r="C9" s="6" t="n">
        <v>50000</v>
      </c>
      <c r="D9" s="6" t="n">
        <v>250000</v>
      </c>
      <c r="E9" s="6" t="n">
        <v>100000</v>
      </c>
      <c r="F9" s="6" t="n">
        <v>500000</v>
      </c>
      <c r="G9" s="34" t="inlineStr">
        <is>
          <t>N/A</t>
        </is>
      </c>
      <c r="H9" s="34" t="inlineStr">
        <is>
          <t>N/A</t>
        </is>
      </c>
    </row>
    <row r="10">
      <c r="A10" s="32" t="inlineStr">
        <is>
          <t>Equal Protection</t>
        </is>
      </c>
      <c r="B10" s="16" t="inlineStr">
        <is>
          <t>McNeill</t>
        </is>
      </c>
      <c r="C10" s="6" t="n">
        <v>10000</v>
      </c>
      <c r="D10" s="6" t="n">
        <v>50000</v>
      </c>
      <c r="E10" s="6" t="n">
        <v>50000</v>
      </c>
      <c r="F10" s="6" t="n">
        <v>200000</v>
      </c>
      <c r="G10" s="6" t="n">
        <v>25000</v>
      </c>
      <c r="H10" s="6" t="n">
        <v>100000</v>
      </c>
    </row>
    <row r="11">
      <c r="A11" s="33" t="inlineStr">
        <is>
          <t>1st Amend. Retaliation</t>
        </is>
      </c>
      <c r="B11" s="18" t="inlineStr">
        <is>
          <t>McNeill</t>
        </is>
      </c>
      <c r="C11" s="6" t="n">
        <v>10000</v>
      </c>
      <c r="D11" s="6" t="n">
        <v>50000</v>
      </c>
      <c r="E11" s="6" t="n">
        <v>50000</v>
      </c>
      <c r="F11" s="6" t="n">
        <v>200000</v>
      </c>
      <c r="G11" s="6" t="n">
        <v>25000</v>
      </c>
      <c r="H11" s="6" t="n">
        <v>100000</v>
      </c>
    </row>
    <row r="12">
      <c r="A12" s="32" t="inlineStr">
        <is>
          <t>State Tort Claims</t>
        </is>
      </c>
      <c r="B12" s="16" t="inlineStr">
        <is>
          <t>Watson/Berry</t>
        </is>
      </c>
      <c r="C12" s="6" t="n">
        <v>15000</v>
      </c>
      <c r="D12" s="6" t="n">
        <v>60000</v>
      </c>
      <c r="E12" s="6" t="n">
        <v>25000</v>
      </c>
      <c r="F12" s="6" t="n">
        <v>100000</v>
      </c>
      <c r="G12" s="6" t="n">
        <v>10000</v>
      </c>
      <c r="H12" s="6" t="n">
        <v>50000</v>
      </c>
    </row>
    <row r="14">
      <c r="B14" s="13" t="inlineStr">
        <is>
          <t>─── TOTALS ───</t>
        </is>
      </c>
    </row>
    <row r="16">
      <c r="B16" s="13" t="inlineStr">
        <is>
          <t>SUBTOTALS</t>
        </is>
      </c>
      <c r="C16" s="10">
        <f>SUM(C6:C12)</f>
        <v/>
      </c>
      <c r="D16" s="10">
        <f>SUM(D6:D12)</f>
        <v/>
      </c>
      <c r="E16" s="10">
        <f>SUM(E6:E12)</f>
        <v/>
      </c>
      <c r="F16" s="10">
        <f>SUM(F6:F12)</f>
        <v/>
      </c>
      <c r="G16" s="10">
        <f>SUM(G6:G12)</f>
        <v/>
      </c>
      <c r="H16" s="10">
        <f>SUM(H6:H12)</f>
        <v/>
      </c>
    </row>
    <row r="17">
      <c r="A17" s="35" t="inlineStr">
        <is>
          <t>§1988</t>
        </is>
      </c>
      <c r="B17" s="36" t="inlineStr">
        <is>
          <t>Attorney Fees (42 USC §1988)</t>
        </is>
      </c>
      <c r="C17" s="6" t="n">
        <v>50000</v>
      </c>
      <c r="D17" s="6" t="n">
        <v>200000</v>
      </c>
      <c r="E17" t="inlineStr"/>
      <c r="F17" t="inlineStr"/>
      <c r="G17" t="inlineStr"/>
      <c r="H17" t="inlineStr"/>
    </row>
    <row r="19">
      <c r="B19" s="19" t="inlineStr">
        <is>
          <t>GRAND TOTAL LOW</t>
        </is>
      </c>
      <c r="C19" s="12">
        <f>C16+E16+G16+C17</f>
        <v/>
      </c>
    </row>
    <row r="20">
      <c r="B20" s="19" t="inlineStr">
        <is>
          <t>GRAND TOTAL HIGH</t>
        </is>
      </c>
      <c r="C20" s="12">
        <f>D16+F16+H16+D17</f>
        <v/>
      </c>
    </row>
  </sheetData>
  <mergeCells count="5">
    <mergeCell ref="G4:H4"/>
    <mergeCell ref="E4:F4"/>
    <mergeCell ref="A2:H2"/>
    <mergeCell ref="A1:H1"/>
    <mergeCell ref="C4:D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18" customWidth="1" min="5" max="5"/>
    <col width="18" customWidth="1" min="6" max="6"/>
    <col width="22" customWidth="1" min="7" max="7"/>
    <col width="22" customWidth="1" min="8" max="8"/>
  </cols>
  <sheetData>
    <row r="1">
      <c r="A1" s="15" t="inlineStr">
        <is>
          <t>Sensitivity Analysis — Recovery Scenarios</t>
        </is>
      </c>
    </row>
    <row r="2">
      <c r="A2" s="37" t="inlineStr">
        <is>
          <t>All values are formulas referencing Summary sheet totals</t>
        </is>
      </c>
    </row>
    <row r="4">
      <c r="A4" s="3" t="inlineStr">
        <is>
          <t>Recovery %</t>
        </is>
      </c>
      <c r="B4" s="3" t="inlineStr">
        <is>
          <t>Lane A</t>
        </is>
      </c>
      <c r="C4" s="3" t="inlineStr">
        <is>
          <t>Lane B (no treble)</t>
        </is>
      </c>
      <c r="D4" s="3" t="inlineStr">
        <is>
          <t>Lane B (with treble)</t>
        </is>
      </c>
      <c r="E4" s="3" t="inlineStr">
        <is>
          <t>Lane E</t>
        </is>
      </c>
      <c r="F4" s="3" t="inlineStr">
        <is>
          <t>Federal §1988</t>
        </is>
      </c>
      <c r="G4" s="3" t="inlineStr">
        <is>
          <t>TOTAL (no treble)</t>
        </is>
      </c>
      <c r="H4" s="3" t="inlineStr">
        <is>
          <t>TOTAL (with treble)</t>
        </is>
      </c>
    </row>
    <row r="5">
      <c r="A5" s="14" t="inlineStr">
        <is>
          <t>25%</t>
        </is>
      </c>
      <c r="B5" s="5">
        <f>'Summary'!B13*0.25</f>
        <v/>
      </c>
      <c r="C5" s="5">
        <f>('Lane B — Housing'!E31+'Lane B — Housing'!F31+'Lane B — Housing'!G31+'Lane B — Housing'!H31)/2*0.25</f>
        <v/>
      </c>
      <c r="D5" s="5">
        <f>'Summary'!C13*0.25</f>
        <v/>
      </c>
      <c r="E5" s="5">
        <f>'Summary'!E13*0.25</f>
        <v/>
      </c>
      <c r="F5" s="5">
        <f>'Summary'!F13*0.25</f>
        <v/>
      </c>
      <c r="G5" s="7">
        <f>B5+C5+E5+F5</f>
        <v/>
      </c>
      <c r="H5" s="7">
        <f>B5+D5+E5+F5</f>
        <v/>
      </c>
    </row>
    <row r="6">
      <c r="A6" s="17" t="inlineStr">
        <is>
          <t>50%</t>
        </is>
      </c>
      <c r="B6" s="38">
        <f>'Summary'!B13*0.5</f>
        <v/>
      </c>
      <c r="C6" s="38">
        <f>('Lane B — Housing'!E31+'Lane B — Housing'!F31+'Lane B — Housing'!G31+'Lane B — Housing'!H31)/2*0.5</f>
        <v/>
      </c>
      <c r="D6" s="38">
        <f>'Summary'!C13*0.5</f>
        <v/>
      </c>
      <c r="E6" s="38">
        <f>'Summary'!E13*0.5</f>
        <v/>
      </c>
      <c r="F6" s="38">
        <f>'Summary'!F13*0.5</f>
        <v/>
      </c>
      <c r="G6" s="39">
        <f>B6+C6+E6+F6</f>
        <v/>
      </c>
      <c r="H6" s="39">
        <f>B6+D6+E6+F6</f>
        <v/>
      </c>
    </row>
    <row r="7">
      <c r="A7" s="14" t="inlineStr">
        <is>
          <t>75%</t>
        </is>
      </c>
      <c r="B7" s="5">
        <f>'Summary'!B13*0.75</f>
        <v/>
      </c>
      <c r="C7" s="5">
        <f>('Lane B — Housing'!E31+'Lane B — Housing'!F31+'Lane B — Housing'!G31+'Lane B — Housing'!H31)/2*0.75</f>
        <v/>
      </c>
      <c r="D7" s="5">
        <f>'Summary'!C13*0.75</f>
        <v/>
      </c>
      <c r="E7" s="5">
        <f>'Summary'!E13*0.75</f>
        <v/>
      </c>
      <c r="F7" s="5">
        <f>'Summary'!F13*0.75</f>
        <v/>
      </c>
      <c r="G7" s="7">
        <f>B7+C7+E7+F7</f>
        <v/>
      </c>
      <c r="H7" s="7">
        <f>B7+D7+E7+F7</f>
        <v/>
      </c>
    </row>
    <row r="8">
      <c r="A8" s="17" t="inlineStr">
        <is>
          <t>100%</t>
        </is>
      </c>
      <c r="B8" s="38">
        <f>'Summary'!B13*1.0</f>
        <v/>
      </c>
      <c r="C8" s="38">
        <f>('Lane B — Housing'!E31+'Lane B — Housing'!F31+'Lane B — Housing'!G31+'Lane B — Housing'!H31)/2*1.0</f>
        <v/>
      </c>
      <c r="D8" s="38">
        <f>'Summary'!C13*1.0</f>
        <v/>
      </c>
      <c r="E8" s="38">
        <f>'Summary'!E13*1.0</f>
        <v/>
      </c>
      <c r="F8" s="38">
        <f>'Summary'!F13*1.0</f>
        <v/>
      </c>
      <c r="G8" s="39">
        <f>B8+C8+E8+F8</f>
        <v/>
      </c>
      <c r="H8" s="39">
        <f>B8+D8+E8+F8</f>
        <v/>
      </c>
    </row>
    <row r="11">
      <c r="A11" s="13" t="inlineStr">
        <is>
          <t>LOW Estimate Sensitivity</t>
        </is>
      </c>
    </row>
    <row r="12">
      <c r="A12" s="3" t="inlineStr">
        <is>
          <t>Recovery %</t>
        </is>
      </c>
      <c r="B12" s="3" t="inlineStr">
        <is>
          <t>Lane A</t>
        </is>
      </c>
      <c r="C12" s="3" t="inlineStr">
        <is>
          <t>Lane B (no treble)</t>
        </is>
      </c>
      <c r="D12" s="3" t="inlineStr">
        <is>
          <t>Lane B (with treble)</t>
        </is>
      </c>
      <c r="E12" s="3" t="inlineStr">
        <is>
          <t>Lane E</t>
        </is>
      </c>
      <c r="F12" s="3" t="inlineStr">
        <is>
          <t>Federal §1988</t>
        </is>
      </c>
      <c r="G12" s="3" t="inlineStr">
        <is>
          <t>TOTAL (no treble)</t>
        </is>
      </c>
      <c r="H12" s="3" t="inlineStr">
        <is>
          <t>TOTAL (with treble)</t>
        </is>
      </c>
    </row>
    <row r="13">
      <c r="A13" s="14" t="inlineStr">
        <is>
          <t>25%</t>
        </is>
      </c>
      <c r="B13" s="5">
        <f>'Summary'!B12*0.25</f>
        <v/>
      </c>
      <c r="C13" s="5">
        <f>('Lane B — Housing'!E31+'Lane B — Housing'!G31)*0.25</f>
        <v/>
      </c>
      <c r="D13" s="5">
        <f>'Summary'!C12*0.25</f>
        <v/>
      </c>
      <c r="E13" s="5">
        <f>'Summary'!E12*0.25</f>
        <v/>
      </c>
      <c r="F13" s="5">
        <f>'Summary'!F12*0.25</f>
        <v/>
      </c>
      <c r="G13" s="7">
        <f>B13+C13+E13+F13</f>
        <v/>
      </c>
      <c r="H13" s="7">
        <f>B13+D13+E13+F13</f>
        <v/>
      </c>
    </row>
    <row r="14">
      <c r="A14" s="14" t="inlineStr">
        <is>
          <t>50%</t>
        </is>
      </c>
      <c r="B14" s="5">
        <f>'Summary'!B12*0.5</f>
        <v/>
      </c>
      <c r="C14" s="5">
        <f>('Lane B — Housing'!E31+'Lane B — Housing'!G31)*0.5</f>
        <v/>
      </c>
      <c r="D14" s="5">
        <f>'Summary'!C12*0.5</f>
        <v/>
      </c>
      <c r="E14" s="5">
        <f>'Summary'!E12*0.5</f>
        <v/>
      </c>
      <c r="F14" s="5">
        <f>'Summary'!F12*0.5</f>
        <v/>
      </c>
      <c r="G14" s="7">
        <f>B14+C14+E14+F14</f>
        <v/>
      </c>
      <c r="H14" s="7">
        <f>B14+D14+E14+F14</f>
        <v/>
      </c>
    </row>
    <row r="15">
      <c r="A15" s="14" t="inlineStr">
        <is>
          <t>75%</t>
        </is>
      </c>
      <c r="B15" s="5">
        <f>'Summary'!B12*0.75</f>
        <v/>
      </c>
      <c r="C15" s="5">
        <f>('Lane B — Housing'!E31+'Lane B — Housing'!G31)*0.75</f>
        <v/>
      </c>
      <c r="D15" s="5">
        <f>'Summary'!C12*0.75</f>
        <v/>
      </c>
      <c r="E15" s="5">
        <f>'Summary'!E12*0.75</f>
        <v/>
      </c>
      <c r="F15" s="5">
        <f>'Summary'!F12*0.75</f>
        <v/>
      </c>
      <c r="G15" s="7">
        <f>B15+C15+E15+F15</f>
        <v/>
      </c>
      <c r="H15" s="7">
        <f>B15+D15+E15+F15</f>
        <v/>
      </c>
    </row>
    <row r="16">
      <c r="A16" s="14" t="inlineStr">
        <is>
          <t>100%</t>
        </is>
      </c>
      <c r="B16" s="5">
        <f>'Summary'!B12*1.0</f>
        <v/>
      </c>
      <c r="C16" s="5">
        <f>('Lane B — Housing'!E31+'Lane B — Housing'!G31)*1.0</f>
        <v/>
      </c>
      <c r="D16" s="5">
        <f>'Summary'!C12*1.0</f>
        <v/>
      </c>
      <c r="E16" s="5">
        <f>'Summary'!E12*1.0</f>
        <v/>
      </c>
      <c r="F16" s="5">
        <f>'Summary'!F12*1.0</f>
        <v/>
      </c>
      <c r="G16" s="7">
        <f>B16+C16+E16+F16</f>
        <v/>
      </c>
      <c r="H16" s="7">
        <f>B16+D16+E16+F16</f>
        <v/>
      </c>
    </row>
  </sheetData>
  <mergeCells count="3">
    <mergeCell ref="A11:H11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22" customWidth="1" min="4" max="4"/>
    <col width="18" customWidth="1" min="5" max="5"/>
    <col width="18" customWidth="1" min="6" max="6"/>
    <col width="52" customWidth="1" min="7" max="7"/>
  </cols>
  <sheetData>
    <row r="1">
      <c r="A1" s="15" t="inlineStr">
        <is>
          <t>Per-Defendant Liability Exposure</t>
        </is>
      </c>
    </row>
    <row r="2">
      <c r="A2" s="2" t="inlineStr">
        <is>
          <t>19 Defendants Across All Lanes — Joint &amp; Several Liability Analysis</t>
        </is>
      </c>
    </row>
    <row r="4">
      <c r="A4" s="3" t="inlineStr">
        <is>
          <t>#</t>
        </is>
      </c>
      <c r="B4" s="3" t="inlineStr">
        <is>
          <t>Defendant</t>
        </is>
      </c>
      <c r="C4" s="3" t="inlineStr">
        <is>
          <t>Lane(s)</t>
        </is>
      </c>
      <c r="D4" s="3" t="inlineStr">
        <is>
          <t>Joint &amp; Several?</t>
        </is>
      </c>
      <c r="E4" s="3" t="inlineStr">
        <is>
          <t>Individual Low</t>
        </is>
      </c>
      <c r="F4" s="3" t="inlineStr">
        <is>
          <t>Individual High</t>
        </is>
      </c>
      <c r="G4" s="3" t="inlineStr">
        <is>
          <t>Notes</t>
        </is>
      </c>
    </row>
    <row r="5">
      <c r="A5" s="14" t="n">
        <v>1</v>
      </c>
      <c r="B5" s="40" t="inlineStr">
        <is>
          <t>Emily A. Watson</t>
        </is>
      </c>
      <c r="C5" s="25" t="inlineStr">
        <is>
          <t>A, D</t>
        </is>
      </c>
      <c r="D5" s="41" t="inlineStr">
        <is>
          <t>Yes</t>
        </is>
      </c>
      <c r="E5" s="6" t="n">
        <v>80000</v>
      </c>
      <c r="F5" s="6" t="n">
        <v>455000</v>
      </c>
      <c r="G5" s="42" t="inlineStr">
        <is>
          <t>Primary — all 13 counts; PPO respondent</t>
        </is>
      </c>
    </row>
    <row r="6">
      <c r="A6" s="17" t="n">
        <v>2</v>
      </c>
      <c r="B6" s="43" t="inlineStr">
        <is>
          <t>Albert Watson</t>
        </is>
      </c>
      <c r="C6" s="24" t="inlineStr">
        <is>
          <t>A</t>
        </is>
      </c>
      <c r="D6" s="24" t="inlineStr">
        <is>
          <t>Yes (conspiracy)</t>
        </is>
      </c>
      <c r="E6" s="6" t="n">
        <v>25000</v>
      </c>
      <c r="F6" s="6" t="n">
        <v>100000</v>
      </c>
      <c r="G6" s="44" t="inlineStr">
        <is>
          <t>Counts I, III, XII</t>
        </is>
      </c>
    </row>
    <row r="7">
      <c r="A7" s="14" t="n">
        <v>3</v>
      </c>
      <c r="B7" s="40" t="inlineStr">
        <is>
          <t>Lori Watson</t>
        </is>
      </c>
      <c r="C7" s="25" t="inlineStr">
        <is>
          <t>A</t>
        </is>
      </c>
      <c r="D7" s="25" t="inlineStr">
        <is>
          <t>Yes (conspiracy)</t>
        </is>
      </c>
      <c r="E7" s="6" t="n">
        <v>30000</v>
      </c>
      <c r="F7" s="6" t="n">
        <v>115000</v>
      </c>
      <c r="G7" s="42" t="inlineStr">
        <is>
          <t>Counts I, III, VI, XII</t>
        </is>
      </c>
    </row>
    <row r="8">
      <c r="A8" s="17" t="n">
        <v>4</v>
      </c>
      <c r="B8" s="43" t="inlineStr">
        <is>
          <t>Cody Watson</t>
        </is>
      </c>
      <c r="C8" s="24" t="inlineStr">
        <is>
          <t>A</t>
        </is>
      </c>
      <c r="D8" s="24" t="inlineStr">
        <is>
          <t>Yes (conspiracy)</t>
        </is>
      </c>
      <c r="E8" s="6" t="n">
        <v>25000</v>
      </c>
      <c r="F8" s="6" t="n">
        <v>100000</v>
      </c>
      <c r="G8" s="44" t="inlineStr">
        <is>
          <t>Counts I, III, XII</t>
        </is>
      </c>
    </row>
    <row r="9">
      <c r="A9" s="14" t="n">
        <v>5</v>
      </c>
      <c r="B9" s="40" t="inlineStr">
        <is>
          <t>Lane A. Watson</t>
        </is>
      </c>
      <c r="C9" s="25" t="inlineStr">
        <is>
          <t>A</t>
        </is>
      </c>
      <c r="D9" s="25" t="inlineStr">
        <is>
          <t>Yes (conspiracy)</t>
        </is>
      </c>
      <c r="E9" s="6" t="n">
        <v>25000</v>
      </c>
      <c r="F9" s="6" t="n">
        <v>100000</v>
      </c>
      <c r="G9" s="42" t="inlineStr">
        <is>
          <t>Counts I, III, XII</t>
        </is>
      </c>
    </row>
    <row r="10">
      <c r="A10" s="17" t="n">
        <v>6</v>
      </c>
      <c r="B10" s="43" t="inlineStr">
        <is>
          <t>Atty Kimberly Berry</t>
        </is>
      </c>
      <c r="C10" s="24" t="inlineStr">
        <is>
          <t>A, E</t>
        </is>
      </c>
      <c r="D10" s="45" t="inlineStr">
        <is>
          <t>Yes</t>
        </is>
      </c>
      <c r="E10" s="6" t="n">
        <v>40000</v>
      </c>
      <c r="F10" s="6" t="n">
        <v>230000</v>
      </c>
      <c r="G10" s="44" t="inlineStr">
        <is>
          <t>Counts VIII, IX; §1983 conspiracy</t>
        </is>
      </c>
    </row>
    <row r="11">
      <c r="A11" s="14" t="n">
        <v>7</v>
      </c>
      <c r="B11" s="40" t="inlineStr">
        <is>
          <t>Shady Oaks MHP LLC</t>
        </is>
      </c>
      <c r="C11" s="25" t="inlineStr">
        <is>
          <t>B</t>
        </is>
      </c>
      <c r="D11" s="41" t="inlineStr">
        <is>
          <t>Yes</t>
        </is>
      </c>
      <c r="E11" s="6" t="n">
        <v>100000</v>
      </c>
      <c r="F11" s="6" t="n">
        <v>500000</v>
      </c>
      <c r="G11" s="42" t="inlineStr">
        <is>
          <t>Primary housing defendant</t>
        </is>
      </c>
    </row>
    <row r="12">
      <c r="A12" s="17" t="n">
        <v>8</v>
      </c>
      <c r="B12" s="43" t="inlineStr">
        <is>
          <t>Homes of America LLC</t>
        </is>
      </c>
      <c r="C12" s="24" t="inlineStr">
        <is>
          <t>B</t>
        </is>
      </c>
      <c r="D12" s="45" t="inlineStr">
        <is>
          <t>Yes</t>
        </is>
      </c>
      <c r="E12" s="6" t="n">
        <v>100000</v>
      </c>
      <c r="F12" s="6" t="n">
        <v>500000</v>
      </c>
      <c r="G12" s="44" t="inlineStr">
        <is>
          <t>Parent entity — veil piercing</t>
        </is>
      </c>
    </row>
    <row r="13">
      <c r="A13" s="14" t="n">
        <v>9</v>
      </c>
      <c r="B13" s="40" t="inlineStr">
        <is>
          <t>Alden Global Capital</t>
        </is>
      </c>
      <c r="C13" s="25" t="inlineStr">
        <is>
          <t>B</t>
        </is>
      </c>
      <c r="D13" s="41" t="inlineStr">
        <is>
          <t>Yes</t>
        </is>
      </c>
      <c r="E13" s="6" t="n">
        <v>100000</v>
      </c>
      <c r="F13" s="6" t="n">
        <v>500000</v>
      </c>
      <c r="G13" s="42" t="inlineStr">
        <is>
          <t>Ultimate parent — RICO</t>
        </is>
      </c>
    </row>
    <row r="14">
      <c r="A14" s="17" t="n">
        <v>10</v>
      </c>
      <c r="B14" s="43" t="inlineStr">
        <is>
          <t>Partridge Equity</t>
        </is>
      </c>
      <c r="C14" s="24" t="inlineStr">
        <is>
          <t>B</t>
        </is>
      </c>
      <c r="D14" s="45" t="inlineStr">
        <is>
          <t>Yes</t>
        </is>
      </c>
      <c r="E14" s="6" t="n">
        <v>50000</v>
      </c>
      <c r="F14" s="6" t="n">
        <v>250000</v>
      </c>
      <c r="G14" s="44" t="inlineStr">
        <is>
          <t>Management entity</t>
        </is>
      </c>
    </row>
    <row r="15">
      <c r="A15" s="14" t="n">
        <v>11</v>
      </c>
      <c r="B15" s="40" t="inlineStr">
        <is>
          <t>VRM Capital</t>
        </is>
      </c>
      <c r="C15" s="25" t="inlineStr">
        <is>
          <t>B</t>
        </is>
      </c>
      <c r="D15" s="41" t="inlineStr">
        <is>
          <t>Yes</t>
        </is>
      </c>
      <c r="E15" s="6" t="n">
        <v>50000</v>
      </c>
      <c r="F15" s="6" t="n">
        <v>250000</v>
      </c>
      <c r="G15" s="42" t="inlineStr">
        <is>
          <t>Capital entity</t>
        </is>
      </c>
    </row>
    <row r="16">
      <c r="A16" s="17" t="n">
        <v>12</v>
      </c>
      <c r="B16" s="43" t="inlineStr">
        <is>
          <t>Cricklewood MHP</t>
        </is>
      </c>
      <c r="C16" s="24" t="inlineStr">
        <is>
          <t>B</t>
        </is>
      </c>
      <c r="D16" s="45" t="inlineStr">
        <is>
          <t>Yes</t>
        </is>
      </c>
      <c r="E16" s="6" t="n">
        <v>50000</v>
      </c>
      <c r="F16" s="6" t="n">
        <v>250000</v>
      </c>
      <c r="G16" s="44" t="inlineStr">
        <is>
          <t>Related park entity</t>
        </is>
      </c>
    </row>
    <row r="17">
      <c r="A17" s="14" t="n">
        <v>13</v>
      </c>
      <c r="B17" s="40" t="inlineStr">
        <is>
          <t>Cassandra VanDam</t>
        </is>
      </c>
      <c r="C17" s="25" t="inlineStr">
        <is>
          <t>B</t>
        </is>
      </c>
      <c r="D17" s="25" t="inlineStr">
        <is>
          <t>Individual</t>
        </is>
      </c>
      <c r="E17" s="6" t="n">
        <v>25000</v>
      </c>
      <c r="F17" s="6" t="n">
        <v>100000</v>
      </c>
      <c r="G17" s="42" t="inlineStr">
        <is>
          <t>Park manager — direct tortfeasor</t>
        </is>
      </c>
    </row>
    <row r="18">
      <c r="A18" s="17" t="n">
        <v>14</v>
      </c>
      <c r="B18" s="43" t="inlineStr">
        <is>
          <t>Nicole Browley</t>
        </is>
      </c>
      <c r="C18" s="24" t="inlineStr">
        <is>
          <t>B</t>
        </is>
      </c>
      <c r="D18" s="24" t="inlineStr">
        <is>
          <t>Individual</t>
        </is>
      </c>
      <c r="E18" s="6" t="n">
        <v>15000</v>
      </c>
      <c r="F18" s="6" t="n">
        <v>75000</v>
      </c>
      <c r="G18" s="44" t="inlineStr">
        <is>
          <t>Management staff</t>
        </is>
      </c>
    </row>
    <row r="19">
      <c r="A19" s="14" t="n">
        <v>15</v>
      </c>
      <c r="B19" s="40" t="inlineStr">
        <is>
          <t>Kim Davis</t>
        </is>
      </c>
      <c r="C19" s="25" t="inlineStr">
        <is>
          <t>B</t>
        </is>
      </c>
      <c r="D19" s="25" t="inlineStr">
        <is>
          <t>Individual</t>
        </is>
      </c>
      <c r="E19" s="6" t="n">
        <v>10000</v>
      </c>
      <c r="F19" s="6" t="n">
        <v>50000</v>
      </c>
      <c r="G19" s="42" t="inlineStr">
        <is>
          <t>Management staff</t>
        </is>
      </c>
    </row>
    <row r="20">
      <c r="A20" s="17" t="n">
        <v>16</v>
      </c>
      <c r="B20" s="43" t="inlineStr">
        <is>
          <t>Hon. Shannon McNeill</t>
        </is>
      </c>
      <c r="C20" s="24" t="inlineStr">
        <is>
          <t>E</t>
        </is>
      </c>
      <c r="D20" s="46" t="inlineStr">
        <is>
          <t>Qualified Immunity?</t>
        </is>
      </c>
      <c r="E20" s="6" t="n">
        <v>75000</v>
      </c>
      <c r="F20" s="6" t="n">
        <v>500000</v>
      </c>
      <c r="G20" s="44" t="inlineStr">
        <is>
          <t>§1983 — 5 counts; JTC referral</t>
        </is>
      </c>
    </row>
    <row r="21">
      <c r="A21" s="14" t="n">
        <v>17</v>
      </c>
      <c r="B21" s="40" t="inlineStr">
        <is>
          <t>FOC Melodie Rusco</t>
        </is>
      </c>
      <c r="C21" s="25" t="inlineStr">
        <is>
          <t>E</t>
        </is>
      </c>
      <c r="D21" s="47" t="inlineStr">
        <is>
          <t>Qualified Immunity?</t>
        </is>
      </c>
      <c r="E21" s="6" t="n">
        <v>25000</v>
      </c>
      <c r="F21" s="6" t="n">
        <v>100000</v>
      </c>
      <c r="G21" s="42" t="inlineStr">
        <is>
          <t>FOC misconduct; §1983</t>
        </is>
      </c>
    </row>
    <row r="22">
      <c r="A22" s="17" t="n">
        <v>18</v>
      </c>
      <c r="B22" s="43" t="inlineStr">
        <is>
          <t>Muskegon County</t>
        </is>
      </c>
      <c r="C22" s="24" t="inlineStr">
        <is>
          <t>E</t>
        </is>
      </c>
      <c r="D22" s="24" t="inlineStr">
        <is>
          <t>Monell</t>
        </is>
      </c>
      <c r="E22" s="6" t="n">
        <v>50000</v>
      </c>
      <c r="F22" s="6" t="n">
        <v>250000</v>
      </c>
      <c r="G22" s="44" t="inlineStr">
        <is>
          <t>Monell liability — no punitive</t>
        </is>
      </c>
    </row>
    <row r="23">
      <c r="A23" s="14" t="n">
        <v>19</v>
      </c>
      <c r="B23" s="40" t="inlineStr">
        <is>
          <t>Unknown Doe Defendants</t>
        </is>
      </c>
      <c r="C23" s="25" t="inlineStr">
        <is>
          <t>C</t>
        </is>
      </c>
      <c r="D23" s="25" t="inlineStr">
        <is>
          <t>TBD</t>
        </is>
      </c>
      <c r="E23" s="6" t="n">
        <v>0</v>
      </c>
      <c r="F23" s="6" t="n">
        <v>0</v>
      </c>
      <c r="G23" s="42" t="inlineStr">
        <is>
          <t>Placeholder for unnamed co-conspirators</t>
        </is>
      </c>
    </row>
    <row r="25">
      <c r="B25" s="13" t="inlineStr">
        <is>
          <t>TOTAL INDIVIDUAL EXPOSURE</t>
        </is>
      </c>
      <c r="E25" s="10">
        <f>SUM(E5:E23)</f>
        <v/>
      </c>
      <c r="F25" s="10">
        <f>SUM(F5:F23)</f>
        <v/>
      </c>
    </row>
    <row r="27">
      <c r="B27" s="48" t="inlineStr">
        <is>
          <t>NOTE: Joint &amp; several liability means each defendant may be liable for the FULL amount of damages attributable to the joint tortfeasors, not just their individual share.</t>
        </is>
      </c>
    </row>
  </sheetData>
  <mergeCells count="3">
    <mergeCell ref="A2:G2"/>
    <mergeCell ref="A1:G1"/>
    <mergeCell ref="B27:G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2026-03-12T13:43:39Z</dcterms:created>
  <dcterms:modified xmlns:dcterms="http://purl.org/dc/terms/" xmlns:xsi="http://www.w3.org/2001/XMLSchema-instance" xsi:type="dcterms:W3CDTF">2026-03-12T13:43:39Z</dcterms:modified>
</cp:coreProperties>
</file>